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46219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46219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46219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46219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Motaggsvamp
Tjäder
Revlummer</t>
        </is>
      </c>
      <c r="V5">
        <f>HYPERLINK("https://klasma.github.io/Logging_1439/artfynd/A 56305-2023 artfynd.xlsx", "A 56305-2023")</f>
        <v/>
      </c>
      <c r="W5">
        <f>HYPERLINK("https://klasma.github.io/Logging_1439/kartor/A 56305-2023 karta.png", "A 56305-2023")</f>
        <v/>
      </c>
      <c r="Y5">
        <f>HYPERLINK("https://klasma.github.io/Logging_1439/klagomål/A 56305-2023 FSC-klagomål.docx", "A 56305-2023")</f>
        <v/>
      </c>
      <c r="Z5">
        <f>HYPERLINK("https://klasma.github.io/Logging_1439/klagomålsmail/A 56305-2023 FSC-klagomål mail.docx", "A 56305-2023")</f>
        <v/>
      </c>
      <c r="AA5">
        <f>HYPERLINK("https://klasma.github.io/Logging_1439/tillsyn/A 56305-2023 tillsynsbegäran.docx", "A 56305-2023")</f>
        <v/>
      </c>
      <c r="AB5">
        <f>HYPERLINK("https://klasma.github.io/Logging_1439/tillsynsmail/A 56305-2023 tillsynsbegäran mail.docx", "A 56305-2023")</f>
        <v/>
      </c>
      <c r="AC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46219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s="2" t="inlineStr">
        <is>
          <t>Spillkråka
Tjäder
Revlummer</t>
        </is>
      </c>
      <c r="V6">
        <f>HYPERLINK("https://klasma.github.io/Logging_1439/artfynd/A 1171-2023 artfynd.xlsx", "A 1171-2023")</f>
        <v/>
      </c>
      <c r="W6">
        <f>HYPERLINK("https://klasma.github.io/Logging_1439/kartor/A 1171-2023 karta.png", "A 1171-2023")</f>
        <v/>
      </c>
      <c r="Y6">
        <f>HYPERLINK("https://klasma.github.io/Logging_1439/klagomål/A 1171-2023 FSC-klagomål.docx", "A 1171-2023")</f>
        <v/>
      </c>
      <c r="Z6">
        <f>HYPERLINK("https://klasma.github.io/Logging_1439/klagomålsmail/A 1171-2023 FSC-klagomål mail.docx", "A 1171-2023")</f>
        <v/>
      </c>
      <c r="AA6">
        <f>HYPERLINK("https://klasma.github.io/Logging_1439/tillsyn/A 1171-2023 tillsynsbegäran.docx", "A 1171-2023")</f>
        <v/>
      </c>
      <c r="AB6">
        <f>HYPERLINK("https://klasma.github.io/Logging_1439/tillsynsmail/A 1171-2023 tillsynsbegäran mail.docx", "A 1171-2023")</f>
        <v/>
      </c>
      <c r="AC6">
        <f>HYPERLINK("https://klasma.github.io/Logging_1439/fåglar/A 1171-2023 prioriterade fågelarter.docx", "A 1171-2023")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46219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Y7">
        <f>HYPERLINK("https://klasma.github.io/Logging_1439/klagomål/A 24074-2023 FSC-klagomål.docx", "A 24074-2023")</f>
        <v/>
      </c>
      <c r="Z7">
        <f>HYPERLINK("https://klasma.github.io/Logging_1439/klagomålsmail/A 24074-2023 FSC-klagomål mail.docx", "A 24074-2023")</f>
        <v/>
      </c>
      <c r="AA7">
        <f>HYPERLINK("https://klasma.github.io/Logging_1439/tillsyn/A 24074-2023 tillsynsbegäran.docx", "A 24074-2023")</f>
        <v/>
      </c>
      <c r="AB7">
        <f>HYPERLINK("https://klasma.github.io/Logging_1439/tillsynsmail/A 24074-2023 tillsynsbegäran mail.docx", "A 24074-2023")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46219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Grynig filtlav
Korallblylav</t>
        </is>
      </c>
      <c r="V8">
        <f>HYPERLINK("https://klasma.github.io/Logging_1439/artfynd/A 62751-2021 artfynd.xlsx", "A 62751-2021")</f>
        <v/>
      </c>
      <c r="W8">
        <f>HYPERLINK("https://klasma.github.io/Logging_1439/kartor/A 62751-2021 karta.png", "A 62751-2021")</f>
        <v/>
      </c>
      <c r="Y8">
        <f>HYPERLINK("https://klasma.github.io/Logging_1439/klagomål/A 62751-2021 FSC-klagomål.docx", "A 62751-2021")</f>
        <v/>
      </c>
      <c r="Z8">
        <f>HYPERLINK("https://klasma.github.io/Logging_1439/klagomålsmail/A 62751-2021 FSC-klagomål mail.docx", "A 62751-2021")</f>
        <v/>
      </c>
      <c r="AA8">
        <f>HYPERLINK("https://klasma.github.io/Logging_1439/tillsyn/A 62751-2021 tillsynsbegäran.docx", "A 62751-2021")</f>
        <v/>
      </c>
      <c r="AB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46219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s="2" t="inlineStr">
        <is>
          <t>Dropptaggsvamp
Revlummer</t>
        </is>
      </c>
      <c r="V9">
        <f>HYPERLINK("https://klasma.github.io/Logging_1439/artfynd/A 38771-2024 artfynd.xlsx", "A 38771-2024")</f>
        <v/>
      </c>
      <c r="W9">
        <f>HYPERLINK("https://klasma.github.io/Logging_1439/kartor/A 38771-2024 karta.png", "A 38771-2024")</f>
        <v/>
      </c>
      <c r="Y9">
        <f>HYPERLINK("https://klasma.github.io/Logging_1439/klagomål/A 38771-2024 FSC-klagomål.docx", "A 38771-2024")</f>
        <v/>
      </c>
      <c r="Z9">
        <f>HYPERLINK("https://klasma.github.io/Logging_1439/klagomålsmail/A 38771-2024 FSC-klagomål mail.docx", "A 38771-2024")</f>
        <v/>
      </c>
      <c r="AA9">
        <f>HYPERLINK("https://klasma.github.io/Logging_1439/tillsyn/A 38771-2024 tillsynsbegäran.docx", "A 38771-2024")</f>
        <v/>
      </c>
      <c r="AB9">
        <f>HYPERLINK("https://klasma.github.io/Logging_1439/tillsynsmail/A 38771-2024 tillsynsbegäran mail.docx", "A 38771-2024")</f>
        <v/>
      </c>
    </row>
    <row r="10" ht="15" customHeight="1">
      <c r="A10" t="inlineStr">
        <is>
          <t>A 25091-2026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46219</v>
      </c>
      <c r="F10" t="inlineStr">
        <is>
          <t>VÄSTRA GÖTALANDS LÄN</t>
        </is>
      </c>
      <c r="G10" t="inlineStr">
        <is>
          <t>FÄRGELANDA</t>
        </is>
      </c>
      <c r="I10" t="n">
        <v>4.4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Grön sköldmossa
Kornknutmossa</t>
        </is>
      </c>
      <c r="V10">
        <f>HYPERLINK("https://klasma.github.io/Logging_1439/artfynd/A 25091-2026 artfynd.xlsx", "A 25091-2026")</f>
        <v/>
      </c>
      <c r="W10">
        <f>HYPERLINK("https://klasma.github.io/Logging_1439/kartor/A 25091-2026 karta.png", "A 25091-2026")</f>
        <v/>
      </c>
      <c r="Y10">
        <f>HYPERLINK("https://klasma.github.io/Logging_1439/klagomål/A 25091-2026 FSC-klagomål.docx", "A 25091-2026")</f>
        <v/>
      </c>
      <c r="Z10">
        <f>HYPERLINK("https://klasma.github.io/Logging_1439/klagomålsmail/A 25091-2026 FSC-klagomål mail.docx", "A 25091-2026")</f>
        <v/>
      </c>
      <c r="AA10">
        <f>HYPERLINK("https://klasma.github.io/Logging_1439/tillsyn/A 25091-2026 tillsynsbegäran.docx", "A 25091-2026")</f>
        <v/>
      </c>
      <c r="AB10">
        <f>HYPERLINK("https://klasma.github.io/Logging_1439/tillsynsmail/A 25091-2026 tillsynsbegäran mail.docx", "A 25091-2026")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46219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46219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60624-2022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44911</v>
      </c>
      <c r="E13" s="1" t="n">
        <v>46219</v>
      </c>
      <c r="F13" t="inlineStr">
        <is>
          <t>VÄSTRA GÖTALANDS LÄN</t>
        </is>
      </c>
      <c r="G13" t="inlineStr">
        <is>
          <t>FÄRGELANDA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Revlummer</t>
        </is>
      </c>
      <c r="V13">
        <f>HYPERLINK("https://klasma.github.io/Logging_1439/artfynd/A 60624-2022 artfynd.xlsx", "A 60624-2022")</f>
        <v/>
      </c>
      <c r="W13">
        <f>HYPERLINK("https://klasma.github.io/Logging_1439/kartor/A 60624-2022 karta.png", "A 60624-2022")</f>
        <v/>
      </c>
      <c r="Y13">
        <f>HYPERLINK("https://klasma.github.io/Logging_1439/klagomål/A 60624-2022 FSC-klagomål.docx", "A 60624-2022")</f>
        <v/>
      </c>
      <c r="Z13">
        <f>HYPERLINK("https://klasma.github.io/Logging_1439/klagomålsmail/A 60624-2022 FSC-klagomål mail.docx", "A 60624-2022")</f>
        <v/>
      </c>
      <c r="AA13">
        <f>HYPERLINK("https://klasma.github.io/Logging_1439/tillsyn/A 60624-2022 tillsynsbegäran.docx", "A 60624-2022")</f>
        <v/>
      </c>
      <c r="AB13">
        <f>HYPERLINK("https://klasma.github.io/Logging_1439/tillsynsmail/A 60624-2022 tillsynsbegäran mail.docx", "A 60624-2022")</f>
        <v/>
      </c>
    </row>
    <row r="14" ht="15" customHeight="1">
      <c r="A14" t="inlineStr">
        <is>
          <t>A 19083-2025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45766</v>
      </c>
      <c r="E14" s="1" t="n">
        <v>46219</v>
      </c>
      <c r="F14" t="inlineStr">
        <is>
          <t>VÄSTRA GÖTALANDS LÄN</t>
        </is>
      </c>
      <c r="G14" t="inlineStr">
        <is>
          <t>FÄRGELANDA</t>
        </is>
      </c>
      <c r="I14" t="n">
        <v>6.2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Igelkott</t>
        </is>
      </c>
      <c r="V14">
        <f>HYPERLINK("https://klasma.github.io/Logging_1439/artfynd/A 19083-2025 artfynd.xlsx", "A 19083-2025")</f>
        <v/>
      </c>
      <c r="W14">
        <f>HYPERLINK("https://klasma.github.io/Logging_1439/kartor/A 19083-2025 karta.png", "A 19083-2025")</f>
        <v/>
      </c>
      <c r="Y14">
        <f>HYPERLINK("https://klasma.github.io/Logging_1439/klagomål/A 19083-2025 FSC-klagomål.docx", "A 19083-2025")</f>
        <v/>
      </c>
      <c r="Z14">
        <f>HYPERLINK("https://klasma.github.io/Logging_1439/klagomålsmail/A 19083-2025 FSC-klagomål mail.docx", "A 19083-2025")</f>
        <v/>
      </c>
      <c r="AA14">
        <f>HYPERLINK("https://klasma.github.io/Logging_1439/tillsyn/A 19083-2025 tillsynsbegäran.docx", "A 19083-2025")</f>
        <v/>
      </c>
      <c r="AB14">
        <f>HYPERLINK("https://klasma.github.io/Logging_1439/tillsynsmail/A 19083-2025 tillsynsbegäran mail.docx", "A 19083-2025")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46219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Ask</t>
        </is>
      </c>
      <c r="V15">
        <f>HYPERLINK("https://klasma.github.io/Logging_1439/artfynd/A 9308-2025 artfynd.xlsx", "A 9308-2025")</f>
        <v/>
      </c>
      <c r="W15">
        <f>HYPERLINK("https://klasma.github.io/Logging_1439/kartor/A 9308-2025 karta.png", "A 9308-2025")</f>
        <v/>
      </c>
      <c r="Y15">
        <f>HYPERLINK("https://klasma.github.io/Logging_1439/klagomål/A 9308-2025 FSC-klagomål.docx", "A 9308-2025")</f>
        <v/>
      </c>
      <c r="Z15">
        <f>HYPERLINK("https://klasma.github.io/Logging_1439/klagomålsmail/A 9308-2025 FSC-klagomål mail.docx", "A 9308-2025")</f>
        <v/>
      </c>
      <c r="AA15">
        <f>HYPERLINK("https://klasma.github.io/Logging_1439/tillsyn/A 9308-2025 tillsynsbegäran.docx", "A 9308-2025")</f>
        <v/>
      </c>
      <c r="AB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46219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Spindelblomster</t>
        </is>
      </c>
      <c r="V16">
        <f>HYPERLINK("https://klasma.github.io/Logging_1439/artfynd/A 36645-2023 artfynd.xlsx", "A 36645-2023")</f>
        <v/>
      </c>
      <c r="W16">
        <f>HYPERLINK("https://klasma.github.io/Logging_1439/kartor/A 36645-2023 karta.png", "A 36645-2023")</f>
        <v/>
      </c>
      <c r="Y16">
        <f>HYPERLINK("https://klasma.github.io/Logging_1439/klagomål/A 36645-2023 FSC-klagomål.docx", "A 36645-2023")</f>
        <v/>
      </c>
      <c r="Z16">
        <f>HYPERLINK("https://klasma.github.io/Logging_1439/klagomålsmail/A 36645-2023 FSC-klagomål mail.docx", "A 36645-2023")</f>
        <v/>
      </c>
      <c r="AA16">
        <f>HYPERLINK("https://klasma.github.io/Logging_1439/tillsyn/A 36645-2023 tillsynsbegäran.docx", "A 36645-2023")</f>
        <v/>
      </c>
      <c r="AB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46219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Källfräne</t>
        </is>
      </c>
      <c r="V17">
        <f>HYPERLINK("https://klasma.github.io/Logging_1439/artfynd/A 57683-2023 artfynd.xlsx", "A 57683-2023")</f>
        <v/>
      </c>
      <c r="W17">
        <f>HYPERLINK("https://klasma.github.io/Logging_1439/kartor/A 57683-2023 karta.png", "A 57683-2023")</f>
        <v/>
      </c>
      <c r="Y17">
        <f>HYPERLINK("https://klasma.github.io/Logging_1439/klagomål/A 57683-2023 FSC-klagomål.docx", "A 57683-2023")</f>
        <v/>
      </c>
      <c r="Z17">
        <f>HYPERLINK("https://klasma.github.io/Logging_1439/klagomålsmail/A 57683-2023 FSC-klagomål mail.docx", "A 57683-2023")</f>
        <v/>
      </c>
      <c r="AA17">
        <f>HYPERLINK("https://klasma.github.io/Logging_1439/tillsyn/A 57683-2023 tillsynsbegäran.docx", "A 57683-2023")</f>
        <v/>
      </c>
      <c r="AB17">
        <f>HYPERLINK("https://klasma.github.io/Logging_1439/tillsynsmail/A 57683-2023 tillsynsbegäran mail.docx", "A 57683-2023")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46219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46219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46219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46219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46219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46219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46219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46219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46219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46219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46219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46219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46219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46219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46219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46219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46219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44593</v>
      </c>
      <c r="E35" s="1" t="n">
        <v>46219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46219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46219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46219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46219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46219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46219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46219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46219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46219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46219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46219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59106-2021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46219</v>
      </c>
      <c r="F47" t="inlineStr">
        <is>
          <t>VÄSTRA GÖTALANDS LÄN</t>
        </is>
      </c>
      <c r="G47" t="inlineStr">
        <is>
          <t>FÄRGELANDA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44636</v>
      </c>
      <c r="E48" s="1" t="n">
        <v>46219</v>
      </c>
      <c r="F48" t="inlineStr">
        <is>
          <t>VÄSTRA GÖTALANDS LÄN</t>
        </is>
      </c>
      <c r="G48" t="inlineStr">
        <is>
          <t>FÄRGELANDA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61914-2022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44917</v>
      </c>
      <c r="E49" s="1" t="n">
        <v>46219</v>
      </c>
      <c r="F49" t="inlineStr">
        <is>
          <t>VÄSTRA GÖTALANDS LÄN</t>
        </is>
      </c>
      <c r="G49" t="inlineStr">
        <is>
          <t>FÄRGELANDA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34433-2023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46219</v>
      </c>
      <c r="F50" t="inlineStr">
        <is>
          <t>VÄSTRA GÖTALANDS LÄN</t>
        </is>
      </c>
      <c r="G50" t="inlineStr">
        <is>
          <t>FÄRGELANDA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22719-2023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45071</v>
      </c>
      <c r="E51" s="1" t="n">
        <v>46219</v>
      </c>
      <c r="F51" t="inlineStr">
        <is>
          <t>VÄSTRA GÖTALANDS LÄN</t>
        </is>
      </c>
      <c r="G51" t="inlineStr">
        <is>
          <t>FÄRGELANDA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46219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47179-2021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46219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44465</v>
      </c>
      <c r="E54" s="1" t="n">
        <v>46219</v>
      </c>
      <c r="F54" t="inlineStr">
        <is>
          <t>VÄSTRA GÖTALANDS LÄN</t>
        </is>
      </c>
      <c r="G54" t="inlineStr">
        <is>
          <t>FÄRGELANDA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35173-2024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45530</v>
      </c>
      <c r="E55" s="1" t="n">
        <v>46219</v>
      </c>
      <c r="F55" t="inlineStr">
        <is>
          <t>VÄSTRA GÖTALANDS LÄN</t>
        </is>
      </c>
      <c r="G55" t="inlineStr">
        <is>
          <t>FÄRGELANDA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45049</v>
      </c>
      <c r="E56" s="1" t="n">
        <v>46219</v>
      </c>
      <c r="F56" t="inlineStr">
        <is>
          <t>VÄSTRA GÖTALANDS LÄN</t>
        </is>
      </c>
      <c r="G56" t="inlineStr">
        <is>
          <t>FÄRGELANDA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31879-2022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44777</v>
      </c>
      <c r="E57" s="1" t="n">
        <v>46219</v>
      </c>
      <c r="F57" t="inlineStr">
        <is>
          <t>VÄSTRA GÖTALANDS LÄN</t>
        </is>
      </c>
      <c r="G57" t="inlineStr">
        <is>
          <t>FÄRGELANDA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44638</v>
      </c>
      <c r="E58" s="1" t="n">
        <v>46219</v>
      </c>
      <c r="F58" t="inlineStr">
        <is>
          <t>VÄSTRA GÖTALANDS LÄN</t>
        </is>
      </c>
      <c r="G58" t="inlineStr">
        <is>
          <t>FÄRGELANDA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56918-2023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45244</v>
      </c>
      <c r="E59" s="1" t="n">
        <v>46219</v>
      </c>
      <c r="F59" t="inlineStr">
        <is>
          <t>VÄSTRA GÖTALANDS LÄN</t>
        </is>
      </c>
      <c r="G59" t="inlineStr">
        <is>
          <t>FÄRGELANDA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40774-2024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45558</v>
      </c>
      <c r="E60" s="1" t="n">
        <v>46219</v>
      </c>
      <c r="F60" t="inlineStr">
        <is>
          <t>VÄSTRA GÖTALANDS LÄN</t>
        </is>
      </c>
      <c r="G60" t="inlineStr">
        <is>
          <t>FÄRGELANDA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46219</v>
      </c>
      <c r="F61" t="inlineStr">
        <is>
          <t>VÄSTRA GÖTALANDS LÄN</t>
        </is>
      </c>
      <c r="G61" t="inlineStr">
        <is>
          <t>FÄRGELANDA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37898-2022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46219</v>
      </c>
      <c r="F62" t="inlineStr">
        <is>
          <t>VÄSTRA GÖTALANDS LÄN</t>
        </is>
      </c>
      <c r="G62" t="inlineStr">
        <is>
          <t>FÄRGELANDA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45700</v>
      </c>
      <c r="E63" s="1" t="n">
        <v>46219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62643-2023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45271</v>
      </c>
      <c r="E64" s="1" t="n">
        <v>46219</v>
      </c>
      <c r="F64" t="inlineStr">
        <is>
          <t>VÄSTRA GÖTALANDS LÄN</t>
        </is>
      </c>
      <c r="G64" t="inlineStr">
        <is>
          <t>FÄRGELANDA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18178-2025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46219</v>
      </c>
      <c r="F65" t="inlineStr">
        <is>
          <t>VÄSTRA GÖTALANDS LÄN</t>
        </is>
      </c>
      <c r="G65" t="inlineStr">
        <is>
          <t>FÄRGELANDA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44883</v>
      </c>
      <c r="E66" s="1" t="n">
        <v>46219</v>
      </c>
      <c r="F66" t="inlineStr">
        <is>
          <t>VÄSTRA GÖTALANDS LÄN</t>
        </is>
      </c>
      <c r="G66" t="inlineStr">
        <is>
          <t>FÄRGELANDA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13673-2025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46219</v>
      </c>
      <c r="F67" t="inlineStr">
        <is>
          <t>VÄSTRA GÖTALANDS LÄN</t>
        </is>
      </c>
      <c r="G67" t="inlineStr">
        <is>
          <t>FÄRGELANDA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57991-2023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46219</v>
      </c>
      <c r="F68" t="inlineStr">
        <is>
          <t>VÄSTRA GÖTALANDS LÄN</t>
        </is>
      </c>
      <c r="G68" t="inlineStr">
        <is>
          <t>FÄRGELANDA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38363-2025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46219</v>
      </c>
      <c r="F69" t="inlineStr">
        <is>
          <t>VÄSTRA GÖTALANDS LÄN</t>
        </is>
      </c>
      <c r="G69" t="inlineStr">
        <is>
          <t>FÄRGELANDA</t>
        </is>
      </c>
      <c r="I69" t="n">
        <v>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17456-2024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45415</v>
      </c>
      <c r="E70" s="1" t="n">
        <v>46219</v>
      </c>
      <c r="F70" t="inlineStr">
        <is>
          <t>VÄSTRA GÖTALANDS LÄN</t>
        </is>
      </c>
      <c r="G70" t="inlineStr">
        <is>
          <t>FÄRGELANDA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24284-2023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45079</v>
      </c>
      <c r="E71" s="1" t="n">
        <v>46219</v>
      </c>
      <c r="F71" t="inlineStr">
        <is>
          <t>VÄSTRA GÖTALANDS LÄN</t>
        </is>
      </c>
      <c r="G71" t="inlineStr">
        <is>
          <t>FÄRGELANDA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17627-2024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45418</v>
      </c>
      <c r="E72" s="1" t="n">
        <v>46219</v>
      </c>
      <c r="F72" t="inlineStr">
        <is>
          <t>VÄSTRA GÖTALANDS LÄN</t>
        </is>
      </c>
      <c r="G72" t="inlineStr">
        <is>
          <t>FÄRGELANDA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59023-2023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45252</v>
      </c>
      <c r="E73" s="1" t="n">
        <v>46219</v>
      </c>
      <c r="F73" t="inlineStr">
        <is>
          <t>VÄSTRA GÖTALANDS LÄN</t>
        </is>
      </c>
      <c r="G73" t="inlineStr">
        <is>
          <t>FÄRGELANDA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60321-2024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46219</v>
      </c>
      <c r="F74" t="inlineStr">
        <is>
          <t>VÄSTRA GÖTALANDS LÄN</t>
        </is>
      </c>
      <c r="G74" t="inlineStr">
        <is>
          <t>FÄRGELANDA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12710-2024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45384</v>
      </c>
      <c r="E75" s="1" t="n">
        <v>46219</v>
      </c>
      <c r="F75" t="inlineStr">
        <is>
          <t>VÄSTRA GÖTALANDS LÄN</t>
        </is>
      </c>
      <c r="G75" t="inlineStr">
        <is>
          <t>FÄRGELANDA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17974-2024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46219</v>
      </c>
      <c r="F76" t="inlineStr">
        <is>
          <t>VÄSTRA GÖTALANDS LÄN</t>
        </is>
      </c>
      <c r="G76" t="inlineStr">
        <is>
          <t>FÄRGELANDA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60468-2024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46219</v>
      </c>
      <c r="F77" t="inlineStr">
        <is>
          <t>VÄSTRA GÖTALANDS LÄN</t>
        </is>
      </c>
      <c r="G77" t="inlineStr">
        <is>
          <t>FÄRGELANDA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55840-2023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46219</v>
      </c>
      <c r="F78" t="inlineStr">
        <is>
          <t>VÄSTRA GÖTALANDS LÄN</t>
        </is>
      </c>
      <c r="G78" t="inlineStr">
        <is>
          <t>FÄRGELANDA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18842-2025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45764</v>
      </c>
      <c r="E79" s="1" t="n">
        <v>46219</v>
      </c>
      <c r="F79" t="inlineStr">
        <is>
          <t>VÄSTRA GÖTALANDS LÄN</t>
        </is>
      </c>
      <c r="G79" t="inlineStr">
        <is>
          <t>FÄRGELANDA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12198-2023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44998</v>
      </c>
      <c r="E80" s="1" t="n">
        <v>46219</v>
      </c>
      <c r="F80" t="inlineStr">
        <is>
          <t>VÄSTRA GÖTALANDS LÄN</t>
        </is>
      </c>
      <c r="G80" t="inlineStr">
        <is>
          <t>FÄRGELANDA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59441-2024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45638</v>
      </c>
      <c r="E81" s="1" t="n">
        <v>46219</v>
      </c>
      <c r="F81" t="inlineStr">
        <is>
          <t>VÄSTRA GÖTALANDS LÄN</t>
        </is>
      </c>
      <c r="G81" t="inlineStr">
        <is>
          <t>FÄRGELANDA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14015-2025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46219</v>
      </c>
      <c r="F82" t="inlineStr">
        <is>
          <t>VÄSTRA GÖTALANDS LÄN</t>
        </is>
      </c>
      <c r="G82" t="inlineStr">
        <is>
          <t>FÄRGELANDA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35098-2023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45145</v>
      </c>
      <c r="E83" s="1" t="n">
        <v>46219</v>
      </c>
      <c r="F83" t="inlineStr">
        <is>
          <t>VÄSTRA GÖTALANDS LÄN</t>
        </is>
      </c>
      <c r="G83" t="inlineStr">
        <is>
          <t>FÄRGELANDA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46219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8450-2023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46219</v>
      </c>
      <c r="F85" t="inlineStr">
        <is>
          <t>VÄSTRA GÖTALANDS LÄN</t>
        </is>
      </c>
      <c r="G85" t="inlineStr">
        <is>
          <t>FÄRGELANDA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58330-2021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46219</v>
      </c>
      <c r="F86" t="inlineStr">
        <is>
          <t>VÄSTRA GÖTALANDS LÄN</t>
        </is>
      </c>
      <c r="G86" t="inlineStr">
        <is>
          <t>FÄRGELANDA</t>
        </is>
      </c>
      <c r="I86" t="n">
        <v>10.1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72655-2021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46219</v>
      </c>
      <c r="F87" t="inlineStr">
        <is>
          <t>VÄSTRA GÖTALANDS LÄN</t>
        </is>
      </c>
      <c r="G87" t="inlineStr">
        <is>
          <t>FÄRGELANDA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46219</v>
      </c>
      <c r="F88" t="inlineStr">
        <is>
          <t>VÄSTRA GÖTALANDS LÄN</t>
        </is>
      </c>
      <c r="G88" t="inlineStr">
        <is>
          <t>FÄRGELANDA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46219</v>
      </c>
      <c r="F89" t="inlineStr">
        <is>
          <t>VÄSTRA GÖTALANDS LÄN</t>
        </is>
      </c>
      <c r="G89" t="inlineStr">
        <is>
          <t>FÄRGELANDA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40213-2025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46219</v>
      </c>
      <c r="F90" t="inlineStr">
        <is>
          <t>VÄSTRA GÖTALANDS LÄN</t>
        </is>
      </c>
      <c r="G90" t="inlineStr">
        <is>
          <t>FÄRGELANDA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46219</v>
      </c>
      <c r="F91" t="inlineStr">
        <is>
          <t>VÄSTRA GÖTALANDS LÄN</t>
        </is>
      </c>
      <c r="G91" t="inlineStr">
        <is>
          <t>FÄRGELANDA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46219</v>
      </c>
      <c r="F92" t="inlineStr">
        <is>
          <t>VÄSTRA GÖTALANDS LÄN</t>
        </is>
      </c>
      <c r="G92" t="inlineStr">
        <is>
          <t>FÄRGELANDA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14813-2023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45014</v>
      </c>
      <c r="E93" s="1" t="n">
        <v>46219</v>
      </c>
      <c r="F93" t="inlineStr">
        <is>
          <t>VÄSTRA GÖTALANDS LÄN</t>
        </is>
      </c>
      <c r="G93" t="inlineStr">
        <is>
          <t>FÄRGELANDA</t>
        </is>
      </c>
      <c r="H93" t="inlineStr">
        <is>
          <t>Kommuner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53906-2021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46219</v>
      </c>
      <c r="F94" t="inlineStr">
        <is>
          <t>VÄSTRA GÖTALANDS LÄN</t>
        </is>
      </c>
      <c r="G94" t="inlineStr">
        <is>
          <t>FÄRGELANDA</t>
        </is>
      </c>
      <c r="I94" t="n">
        <v>20.8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46219</v>
      </c>
      <c r="F95" t="inlineStr">
        <is>
          <t>VÄSTRA GÖTALANDS LÄN</t>
        </is>
      </c>
      <c r="G95" t="inlineStr">
        <is>
          <t>FÄRGELANDA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46219</v>
      </c>
      <c r="F96" t="inlineStr">
        <is>
          <t>VÄSTRA GÖTALANDS LÄN</t>
        </is>
      </c>
      <c r="G96" t="inlineStr">
        <is>
          <t>FÄRGELANDA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27841-2023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46219</v>
      </c>
      <c r="F97" t="inlineStr">
        <is>
          <t>VÄSTRA GÖTALANDS LÄN</t>
        </is>
      </c>
      <c r="G97" t="inlineStr">
        <is>
          <t>FÄRGELANDA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46219</v>
      </c>
      <c r="F98" t="inlineStr">
        <is>
          <t>VÄSTRA GÖTALANDS LÄN</t>
        </is>
      </c>
      <c r="G98" t="inlineStr">
        <is>
          <t>FÄRGELANDA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46219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46219</v>
      </c>
      <c r="F100" t="inlineStr">
        <is>
          <t>VÄSTRA GÖTALANDS LÄN</t>
        </is>
      </c>
      <c r="G100" t="inlineStr">
        <is>
          <t>FÄRGELANDA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46219</v>
      </c>
      <c r="F101" t="inlineStr">
        <is>
          <t>VÄSTRA GÖTALANDS LÄN</t>
        </is>
      </c>
      <c r="G101" t="inlineStr">
        <is>
          <t>FÄRGELANDA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20359-2025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45775</v>
      </c>
      <c r="E102" s="1" t="n">
        <v>46219</v>
      </c>
      <c r="F102" t="inlineStr">
        <is>
          <t>VÄSTRA GÖTALANDS LÄN</t>
        </is>
      </c>
      <c r="G102" t="inlineStr">
        <is>
          <t>FÄRGELANDA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46219</v>
      </c>
      <c r="F103" t="inlineStr">
        <is>
          <t>VÄSTRA GÖTALANDS LÄN</t>
        </is>
      </c>
      <c r="G103" t="inlineStr">
        <is>
          <t>FÄRGELANDA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18186-2024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45420</v>
      </c>
      <c r="E104" s="1" t="n">
        <v>46219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46219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44901</v>
      </c>
      <c r="E106" s="1" t="n">
        <v>46219</v>
      </c>
      <c r="F106" t="inlineStr">
        <is>
          <t>VÄSTRA GÖTALANDS LÄN</t>
        </is>
      </c>
      <c r="G106" t="inlineStr">
        <is>
          <t>FÄRGELANDA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23222-2024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45452</v>
      </c>
      <c r="E107" s="1" t="n">
        <v>46219</v>
      </c>
      <c r="F107" t="inlineStr">
        <is>
          <t>VÄSTRA GÖTALANDS LÄN</t>
        </is>
      </c>
      <c r="G107" t="inlineStr">
        <is>
          <t>FÄRGELANDA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56619-2022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46219</v>
      </c>
      <c r="F108" t="inlineStr">
        <is>
          <t>VÄSTRA GÖTALANDS LÄN</t>
        </is>
      </c>
      <c r="G108" t="inlineStr">
        <is>
          <t>FÄRGELANDA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57868-2022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46219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57869-2022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46219</v>
      </c>
      <c r="F110" t="inlineStr">
        <is>
          <t>VÄSTRA GÖTALANDS LÄN</t>
        </is>
      </c>
      <c r="G110" t="inlineStr">
        <is>
          <t>FÄRGELANDA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9736-2024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45362</v>
      </c>
      <c r="E111" s="1" t="n">
        <v>46219</v>
      </c>
      <c r="F111" t="inlineStr">
        <is>
          <t>VÄSTRA GÖTALANDS LÄN</t>
        </is>
      </c>
      <c r="G111" t="inlineStr">
        <is>
          <t>FÄRGELANDA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22722-2023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45071</v>
      </c>
      <c r="E112" s="1" t="n">
        <v>46219</v>
      </c>
      <c r="F112" t="inlineStr">
        <is>
          <t>VÄSTRA GÖTALANDS LÄN</t>
        </is>
      </c>
      <c r="G112" t="inlineStr">
        <is>
          <t>FÄRGELANDA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58317-2021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46219</v>
      </c>
      <c r="F113" t="inlineStr">
        <is>
          <t>VÄSTRA GÖTALANDS LÄN</t>
        </is>
      </c>
      <c r="G113" t="inlineStr">
        <is>
          <t>FÄRGELANDA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61642-2022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44916</v>
      </c>
      <c r="E114" s="1" t="n">
        <v>46219</v>
      </c>
      <c r="F114" t="inlineStr">
        <is>
          <t>VÄSTRA GÖTALANDS LÄN</t>
        </is>
      </c>
      <c r="G114" t="inlineStr">
        <is>
          <t>FÄRGELANDA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46219</v>
      </c>
      <c r="F115" t="inlineStr">
        <is>
          <t>VÄSTRA GÖTALANDS LÄN</t>
        </is>
      </c>
      <c r="G115" t="inlineStr">
        <is>
          <t>FÄRGELANDA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46219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35845-2024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45532</v>
      </c>
      <c r="E117" s="1" t="n">
        <v>46219</v>
      </c>
      <c r="F117" t="inlineStr">
        <is>
          <t>VÄSTRA GÖTALANDS LÄN</t>
        </is>
      </c>
      <c r="G117" t="inlineStr">
        <is>
          <t>FÄRGELANDA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60766-2023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46219</v>
      </c>
      <c r="F118" t="inlineStr">
        <is>
          <t>VÄSTRA GÖTALANDS LÄN</t>
        </is>
      </c>
      <c r="G118" t="inlineStr">
        <is>
          <t>FÄRGELANDA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46219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45268-2021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46219</v>
      </c>
      <c r="F120" t="inlineStr">
        <is>
          <t>VÄSTRA GÖTALANDS LÄN</t>
        </is>
      </c>
      <c r="G120" t="inlineStr">
        <is>
          <t>FÄRGELANDA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71963-2021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46219</v>
      </c>
      <c r="F121" t="inlineStr">
        <is>
          <t>VÄSTRA GÖTALANDS LÄN</t>
        </is>
      </c>
      <c r="G121" t="inlineStr">
        <is>
          <t>FÄRGELANDA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48087-2025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46219</v>
      </c>
      <c r="F122" t="inlineStr">
        <is>
          <t>VÄSTRA GÖTALANDS LÄN</t>
        </is>
      </c>
      <c r="G122" t="inlineStr">
        <is>
          <t>FÄRGELANDA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48948-2021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44453</v>
      </c>
      <c r="E123" s="1" t="n">
        <v>46219</v>
      </c>
      <c r="F123" t="inlineStr">
        <is>
          <t>VÄSTRA GÖTALANDS LÄN</t>
        </is>
      </c>
      <c r="G123" t="inlineStr">
        <is>
          <t>FÄRGELANDA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49825-2023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46219</v>
      </c>
      <c r="F124" t="inlineStr">
        <is>
          <t>VÄSTRA GÖTALANDS LÄN</t>
        </is>
      </c>
      <c r="G124" t="inlineStr">
        <is>
          <t>FÄRGELANDA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49069-2025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46219</v>
      </c>
      <c r="F125" t="inlineStr">
        <is>
          <t>VÄSTRA GÖTALANDS LÄN</t>
        </is>
      </c>
      <c r="G125" t="inlineStr">
        <is>
          <t>FÄRGELANDA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46219</v>
      </c>
      <c r="F126" t="inlineStr">
        <is>
          <t>VÄSTRA GÖTALANDS LÄN</t>
        </is>
      </c>
      <c r="G126" t="inlineStr">
        <is>
          <t>FÄRGELANDA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8223-2024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45351</v>
      </c>
      <c r="E127" s="1" t="n">
        <v>46219</v>
      </c>
      <c r="F127" t="inlineStr">
        <is>
          <t>VÄSTRA GÖTALANDS LÄN</t>
        </is>
      </c>
      <c r="G127" t="inlineStr">
        <is>
          <t>FÄRGELANDA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8224-2024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45351</v>
      </c>
      <c r="E128" s="1" t="n">
        <v>46219</v>
      </c>
      <c r="F128" t="inlineStr">
        <is>
          <t>VÄSTRA GÖTALANDS LÄN</t>
        </is>
      </c>
      <c r="G128" t="inlineStr">
        <is>
          <t>FÄRGELANDA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57267-2022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46219</v>
      </c>
      <c r="F129" t="inlineStr">
        <is>
          <t>VÄSTRA GÖTALANDS LÄN</t>
        </is>
      </c>
      <c r="G129" t="inlineStr">
        <is>
          <t>FÄRGELANDA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46041-2021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44441</v>
      </c>
      <c r="E130" s="1" t="n">
        <v>46219</v>
      </c>
      <c r="F130" t="inlineStr">
        <is>
          <t>VÄSTRA GÖTALANDS LÄN</t>
        </is>
      </c>
      <c r="G130" t="inlineStr">
        <is>
          <t>FÄRGELANDA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34241-2024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45524</v>
      </c>
      <c r="E131" s="1" t="n">
        <v>46219</v>
      </c>
      <c r="F131" t="inlineStr">
        <is>
          <t>VÄSTRA GÖTALANDS LÄN</t>
        </is>
      </c>
      <c r="G131" t="inlineStr">
        <is>
          <t>FÄRGELANDA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50883-2025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46219</v>
      </c>
      <c r="F132" t="inlineStr">
        <is>
          <t>VÄSTRA GÖTALANDS LÄN</t>
        </is>
      </c>
      <c r="G132" t="inlineStr">
        <is>
          <t>FÄRGELANDA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50876-2025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46219</v>
      </c>
      <c r="F133" t="inlineStr">
        <is>
          <t>VÄSTRA GÖTALANDS LÄN</t>
        </is>
      </c>
      <c r="G133" t="inlineStr">
        <is>
          <t>FÄRGELANDA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27521-2024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46219</v>
      </c>
      <c r="F134" t="inlineStr">
        <is>
          <t>VÄSTRA GÖTALANDS LÄN</t>
        </is>
      </c>
      <c r="G134" t="inlineStr">
        <is>
          <t>FÄRGELANDA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8452-2023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46219</v>
      </c>
      <c r="F135" t="inlineStr">
        <is>
          <t>VÄSTRA GÖTALANDS LÄN</t>
        </is>
      </c>
      <c r="G135" t="inlineStr">
        <is>
          <t>FÄRGELANDA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51483-2025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46219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46219</v>
      </c>
      <c r="F137" t="inlineStr">
        <is>
          <t>VÄSTRA GÖTALANDS LÄN</t>
        </is>
      </c>
      <c r="G137" t="inlineStr">
        <is>
          <t>FÄRGELANDA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46219</v>
      </c>
      <c r="F138" t="inlineStr">
        <is>
          <t>VÄSTRA GÖTALANDS LÄN</t>
        </is>
      </c>
      <c r="G138" t="inlineStr">
        <is>
          <t>FÄRGELANDA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51271-2025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45949</v>
      </c>
      <c r="E139" s="1" t="n">
        <v>46219</v>
      </c>
      <c r="F139" t="inlineStr">
        <is>
          <t>VÄSTRA GÖTALANDS LÄN</t>
        </is>
      </c>
      <c r="G139" t="inlineStr">
        <is>
          <t>FÄRGELANDA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44592</v>
      </c>
      <c r="E140" s="1" t="n">
        <v>46219</v>
      </c>
      <c r="F140" t="inlineStr">
        <is>
          <t>VÄSTRA GÖTALANDS LÄN</t>
        </is>
      </c>
      <c r="G140" t="inlineStr">
        <is>
          <t>FÄRGELANDA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59022-2023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45252</v>
      </c>
      <c r="E141" s="1" t="n">
        <v>46219</v>
      </c>
      <c r="F141" t="inlineStr">
        <is>
          <t>VÄSTRA GÖTALANDS LÄN</t>
        </is>
      </c>
      <c r="G141" t="inlineStr">
        <is>
          <t>FÄRGELANDA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59025-2023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45252</v>
      </c>
      <c r="E142" s="1" t="n">
        <v>46219</v>
      </c>
      <c r="F142" t="inlineStr">
        <is>
          <t>VÄSTRA GÖTALANDS LÄN</t>
        </is>
      </c>
      <c r="G142" t="inlineStr">
        <is>
          <t>FÄRGELANDA</t>
        </is>
      </c>
      <c r="I142" t="n">
        <v>44.5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52151-2022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46219</v>
      </c>
      <c r="F143" t="inlineStr">
        <is>
          <t>VÄSTRA GÖTALANDS LÄN</t>
        </is>
      </c>
      <c r="G143" t="inlineStr">
        <is>
          <t>FÄRGELANDA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45957</v>
      </c>
      <c r="E144" s="1" t="n">
        <v>46219</v>
      </c>
      <c r="F144" t="inlineStr">
        <is>
          <t>VÄSTRA GÖTALANDS LÄN</t>
        </is>
      </c>
      <c r="G144" t="inlineStr">
        <is>
          <t>FÄRGELANDA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29677-2026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46204</v>
      </c>
      <c r="E145" s="1" t="n">
        <v>46219</v>
      </c>
      <c r="F145" t="inlineStr">
        <is>
          <t>VÄSTRA GÖTALANDS LÄN</t>
        </is>
      </c>
      <c r="G145" t="inlineStr">
        <is>
          <t>FÄRGELANDA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15043-2023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45015</v>
      </c>
      <c r="E146" s="1" t="n">
        <v>46219</v>
      </c>
      <c r="F146" t="inlineStr">
        <is>
          <t>VÄSTRA GÖTALANDS LÄN</t>
        </is>
      </c>
      <c r="G146" t="inlineStr">
        <is>
          <t>FÄRGELANDA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53276-2025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46219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17640-2025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46219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46219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29961-2026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46219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54410-2025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46219</v>
      </c>
      <c r="F151" t="inlineStr">
        <is>
          <t>VÄSTRA GÖTALANDS LÄN</t>
        </is>
      </c>
      <c r="G151" t="inlineStr">
        <is>
          <t>FÄRGELANDA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54401-2025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46219</v>
      </c>
      <c r="F152" t="inlineStr">
        <is>
          <t>VÄSTRA GÖTALANDS LÄN</t>
        </is>
      </c>
      <c r="G152" t="inlineStr">
        <is>
          <t>FÄRGELANDA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46219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46219</v>
      </c>
      <c r="F154" t="inlineStr">
        <is>
          <t>VÄSTRA GÖTALANDS LÄN</t>
        </is>
      </c>
      <c r="G154" t="inlineStr">
        <is>
          <t>FÄRGELANDA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7387-2025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46219</v>
      </c>
      <c r="F155" t="inlineStr">
        <is>
          <t>VÄSTRA GÖTALANDS LÄN</t>
        </is>
      </c>
      <c r="G155" t="inlineStr">
        <is>
          <t>FÄRGELANDA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55299-2025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45969</v>
      </c>
      <c r="E156" s="1" t="n">
        <v>46219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55300-2025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46219</v>
      </c>
      <c r="F157" t="inlineStr">
        <is>
          <t>VÄSTRA GÖTALANDS LÄN</t>
        </is>
      </c>
      <c r="G157" t="inlineStr">
        <is>
          <t>FÄRGELANDA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23826-2026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46166</v>
      </c>
      <c r="E158" s="1" t="n">
        <v>46219</v>
      </c>
      <c r="F158" t="inlineStr">
        <is>
          <t>VÄSTRA GÖTALANDS LÄN</t>
        </is>
      </c>
      <c r="G158" t="inlineStr">
        <is>
          <t>FÄRGELANDA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44578</v>
      </c>
      <c r="E159" s="1" t="n">
        <v>46219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21311-2023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46219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44846-2024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45574</v>
      </c>
      <c r="E161" s="1" t="n">
        <v>46219</v>
      </c>
      <c r="F161" t="inlineStr">
        <is>
          <t>VÄSTRA GÖTALANDS LÄN</t>
        </is>
      </c>
      <c r="G161" t="inlineStr">
        <is>
          <t>FÄRGELANDA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56715-2025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46219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56716-2025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46219</v>
      </c>
      <c r="F163" t="inlineStr">
        <is>
          <t>VÄSTRA GÖTALANDS LÄN</t>
        </is>
      </c>
      <c r="G163" t="inlineStr">
        <is>
          <t>FÄRGELANDA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12110-2026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46086</v>
      </c>
      <c r="E164" s="1" t="n">
        <v>46219</v>
      </c>
      <c r="F164" t="inlineStr">
        <is>
          <t>VÄSTRA GÖTALANDS LÄN</t>
        </is>
      </c>
      <c r="G164" t="inlineStr">
        <is>
          <t>FÄRGELANDA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24075-2023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45078</v>
      </c>
      <c r="E165" s="1" t="n">
        <v>46219</v>
      </c>
      <c r="F165" t="inlineStr">
        <is>
          <t>VÄSTRA GÖTALANDS LÄN</t>
        </is>
      </c>
      <c r="G165" t="inlineStr">
        <is>
          <t>FÄRGELANDA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46219</v>
      </c>
      <c r="F166" t="inlineStr">
        <is>
          <t>VÄSTRA GÖTALANDS LÄN</t>
        </is>
      </c>
      <c r="G166" t="inlineStr">
        <is>
          <t>FÄRGELANDA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46219</v>
      </c>
      <c r="F167" t="inlineStr">
        <is>
          <t>VÄSTRA GÖTALANDS LÄN</t>
        </is>
      </c>
      <c r="G167" t="inlineStr">
        <is>
          <t>FÄRGELANDA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44777</v>
      </c>
      <c r="E168" s="1" t="n">
        <v>46219</v>
      </c>
      <c r="F168" t="inlineStr">
        <is>
          <t>VÄSTRA GÖTALANDS LÄN</t>
        </is>
      </c>
      <c r="G168" t="inlineStr">
        <is>
          <t>FÄRGELANDA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46219</v>
      </c>
      <c r="F169" t="inlineStr">
        <is>
          <t>VÄSTRA GÖTALANDS LÄN</t>
        </is>
      </c>
      <c r="G169" t="inlineStr">
        <is>
          <t>FÄRGELANDA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46219</v>
      </c>
      <c r="F170" t="inlineStr">
        <is>
          <t>VÄSTRA GÖTALANDS LÄN</t>
        </is>
      </c>
      <c r="G170" t="inlineStr">
        <is>
          <t>FÄRGELANDA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44571</v>
      </c>
      <c r="E171" s="1" t="n">
        <v>46219</v>
      </c>
      <c r="F171" t="inlineStr">
        <is>
          <t>VÄSTRA GÖTALANDS LÄN</t>
        </is>
      </c>
      <c r="G171" t="inlineStr">
        <is>
          <t>FÄRGELANDA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46219</v>
      </c>
      <c r="F172" t="inlineStr">
        <is>
          <t>VÄSTRA GÖTALANDS LÄN</t>
        </is>
      </c>
      <c r="G172" t="inlineStr">
        <is>
          <t>FÄRGELANDA</t>
        </is>
      </c>
      <c r="I172" t="n">
        <v>18.5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26883-2024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45470</v>
      </c>
      <c r="E173" s="1" t="n">
        <v>46219</v>
      </c>
      <c r="F173" t="inlineStr">
        <is>
          <t>VÄSTRA GÖTALANDS LÄN</t>
        </is>
      </c>
      <c r="G173" t="inlineStr">
        <is>
          <t>FÄRGELANDA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46534-2024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46219</v>
      </c>
      <c r="F174" t="inlineStr">
        <is>
          <t>VÄSTRA GÖTALANDS LÄN</t>
        </is>
      </c>
      <c r="G174" t="inlineStr">
        <is>
          <t>FÄRGELANDA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59318-2025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46219</v>
      </c>
      <c r="F175" t="inlineStr">
        <is>
          <t>VÄSTRA GÖTALANDS LÄN</t>
        </is>
      </c>
      <c r="G175" t="inlineStr">
        <is>
          <t>FÄRGELANDA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13559-2024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45388</v>
      </c>
      <c r="E176" s="1" t="n">
        <v>46219</v>
      </c>
      <c r="F176" t="inlineStr">
        <is>
          <t>VÄSTRA GÖTALANDS LÄN</t>
        </is>
      </c>
      <c r="G176" t="inlineStr">
        <is>
          <t>FÄRGELANDA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53196-2025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46219</v>
      </c>
      <c r="F177" t="inlineStr">
        <is>
          <t>VÄSTRA GÖTALANDS LÄN</t>
        </is>
      </c>
      <c r="G177" t="inlineStr">
        <is>
          <t>FÄRGELANDA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34715-2023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45141</v>
      </c>
      <c r="E178" s="1" t="n">
        <v>46219</v>
      </c>
      <c r="F178" t="inlineStr">
        <is>
          <t>VÄSTRA GÖTALANDS LÄN</t>
        </is>
      </c>
      <c r="G178" t="inlineStr">
        <is>
          <t>FÄRGELANDA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46219</v>
      </c>
      <c r="F179" t="inlineStr">
        <is>
          <t>VÄSTRA GÖTALANDS LÄN</t>
        </is>
      </c>
      <c r="G179" t="inlineStr">
        <is>
          <t>FÄRGELANDA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37783-2023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46219</v>
      </c>
      <c r="F180" t="inlineStr">
        <is>
          <t>VÄSTRA GÖTALANDS LÄN</t>
        </is>
      </c>
      <c r="G180" t="inlineStr">
        <is>
          <t>FÄRGELANDA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64390-2023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46219</v>
      </c>
      <c r="F181" t="inlineStr">
        <is>
          <t>VÄSTRA GÖTALANDS LÄN</t>
        </is>
      </c>
      <c r="G181" t="inlineStr">
        <is>
          <t>FÄRGELANDA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31159-2026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46209</v>
      </c>
      <c r="E182" s="1" t="n">
        <v>46219</v>
      </c>
      <c r="F182" t="inlineStr">
        <is>
          <t>VÄSTRA GÖTALANDS LÄN</t>
        </is>
      </c>
      <c r="G182" t="inlineStr">
        <is>
          <t>FÄRGELANDA</t>
        </is>
      </c>
      <c r="H182" t="inlineStr">
        <is>
          <t>Övriga Aktiebolag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56614-2022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46219</v>
      </c>
      <c r="F183" t="inlineStr">
        <is>
          <t>VÄSTRA GÖTALANDS LÄN</t>
        </is>
      </c>
      <c r="G183" t="inlineStr">
        <is>
          <t>FÄRGELANDA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45467</v>
      </c>
      <c r="E184" s="1" t="n">
        <v>46219</v>
      </c>
      <c r="F184" t="inlineStr">
        <is>
          <t>VÄSTRA GÖTALANDS LÄN</t>
        </is>
      </c>
      <c r="G184" t="inlineStr">
        <is>
          <t>FÄRGELANDA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17129-2023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46219</v>
      </c>
      <c r="F185" t="inlineStr">
        <is>
          <t>VÄSTRA GÖTALANDS LÄN</t>
        </is>
      </c>
      <c r="G185" t="inlineStr">
        <is>
          <t>FÄRGELANDA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46219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58868-2025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45987</v>
      </c>
      <c r="E187" s="1" t="n">
        <v>46219</v>
      </c>
      <c r="F187" t="inlineStr">
        <is>
          <t>VÄSTRA GÖTALANDS LÄN</t>
        </is>
      </c>
      <c r="G187" t="inlineStr">
        <is>
          <t>FÄRGELANDA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44581</v>
      </c>
      <c r="E188" s="1" t="n">
        <v>46219</v>
      </c>
      <c r="F188" t="inlineStr">
        <is>
          <t>VÄSTRA GÖTALANDS LÄN</t>
        </is>
      </c>
      <c r="G188" t="inlineStr">
        <is>
          <t>FÄRGELANDA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60475-2024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46219</v>
      </c>
      <c r="F189" t="inlineStr">
        <is>
          <t>VÄSTRA GÖTALANDS LÄN</t>
        </is>
      </c>
      <c r="G189" t="inlineStr">
        <is>
          <t>FÄRGELANDA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60330-2024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46219</v>
      </c>
      <c r="F190" t="inlineStr">
        <is>
          <t>VÄSTRA GÖTALANDS LÄN</t>
        </is>
      </c>
      <c r="G190" t="inlineStr">
        <is>
          <t>FÄRGELANDA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46219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46219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16424-2024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45407</v>
      </c>
      <c r="E193" s="1" t="n">
        <v>46219</v>
      </c>
      <c r="F193" t="inlineStr">
        <is>
          <t>VÄSTRA GÖTALANDS LÄN</t>
        </is>
      </c>
      <c r="G193" t="inlineStr">
        <is>
          <t>FÄRGELANDA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46219</v>
      </c>
      <c r="F194" t="inlineStr">
        <is>
          <t>VÄSTRA GÖTALANDS LÄN</t>
        </is>
      </c>
      <c r="G194" t="inlineStr">
        <is>
          <t>FÄRGELANDA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63176-2023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46219</v>
      </c>
      <c r="F195" t="inlineStr">
        <is>
          <t>VÄSTRA GÖTALANDS LÄN</t>
        </is>
      </c>
      <c r="G195" t="inlineStr">
        <is>
          <t>FÄRGELANDA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12507-2025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46219</v>
      </c>
      <c r="F196" t="inlineStr">
        <is>
          <t>VÄSTRA GÖTALANDS LÄN</t>
        </is>
      </c>
      <c r="G196" t="inlineStr">
        <is>
          <t>FÄRGELANDA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36606-2023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46219</v>
      </c>
      <c r="F197" t="inlineStr">
        <is>
          <t>VÄSTRA GÖTALANDS LÄN</t>
        </is>
      </c>
      <c r="G197" t="inlineStr">
        <is>
          <t>FÄRGELANDA</t>
        </is>
      </c>
      <c r="I197" t="n">
        <v>13.5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45740</v>
      </c>
      <c r="E198" s="1" t="n">
        <v>46219</v>
      </c>
      <c r="F198" t="inlineStr">
        <is>
          <t>VÄSTRA GÖTALANDS LÄN</t>
        </is>
      </c>
      <c r="G198" t="inlineStr">
        <is>
          <t>FÄRGELANDA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46219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46219</v>
      </c>
      <c r="F200" t="inlineStr">
        <is>
          <t>VÄSTRA GÖTALANDS LÄN</t>
        </is>
      </c>
      <c r="G200" t="inlineStr">
        <is>
          <t>FÄRGELANDA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45776</v>
      </c>
      <c r="E201" s="1" t="n">
        <v>46219</v>
      </c>
      <c r="F201" t="inlineStr">
        <is>
          <t>VÄSTRA GÖTALANDS LÄN</t>
        </is>
      </c>
      <c r="G201" t="inlineStr">
        <is>
          <t>FÄRGELANDA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21126-2025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46219</v>
      </c>
      <c r="F202" t="inlineStr">
        <is>
          <t>VÄSTRA GÖTALANDS LÄN</t>
        </is>
      </c>
      <c r="G202" t="inlineStr">
        <is>
          <t>FÄRGELANDA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21125-2025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46219</v>
      </c>
      <c r="F203" t="inlineStr">
        <is>
          <t>VÄSTRA GÖTALANDS LÄN</t>
        </is>
      </c>
      <c r="G203" t="inlineStr">
        <is>
          <t>FÄRGELANDA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26108-2023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46219</v>
      </c>
      <c r="F204" t="inlineStr">
        <is>
          <t>VÄSTRA GÖTALANDS LÄN</t>
        </is>
      </c>
      <c r="G204" t="inlineStr">
        <is>
          <t>FÄRGELANDA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46037</v>
      </c>
      <c r="E205" s="1" t="n">
        <v>46219</v>
      </c>
      <c r="F205" t="inlineStr">
        <is>
          <t>VÄSTRA GÖTALANDS LÄN</t>
        </is>
      </c>
      <c r="G205" t="inlineStr">
        <is>
          <t>FÄRGELANDA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42402-2023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46219</v>
      </c>
      <c r="F206" t="inlineStr">
        <is>
          <t>VÄSTRA GÖTALANDS LÄN</t>
        </is>
      </c>
      <c r="G206" t="inlineStr">
        <is>
          <t>FÄRGELANDA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45033</v>
      </c>
      <c r="E207" s="1" t="n">
        <v>46219</v>
      </c>
      <c r="F207" t="inlineStr">
        <is>
          <t>VÄSTRA GÖTALANDS LÄN</t>
        </is>
      </c>
      <c r="G207" t="inlineStr">
        <is>
          <t>FÄRGELANDA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46219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Kommuner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6322-2024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45338</v>
      </c>
      <c r="E209" s="1" t="n">
        <v>46219</v>
      </c>
      <c r="F209" t="inlineStr">
        <is>
          <t>VÄSTRA GÖTALANDS LÄN</t>
        </is>
      </c>
      <c r="G209" t="inlineStr">
        <is>
          <t>FÄRGELANDA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5962-2026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46219</v>
      </c>
      <c r="F210" t="inlineStr">
        <is>
          <t>VÄSTRA GÖTALANDS LÄN</t>
        </is>
      </c>
      <c r="G210" t="inlineStr">
        <is>
          <t>FÄRGELANDA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46219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46219</v>
      </c>
      <c r="F212" t="inlineStr">
        <is>
          <t>VÄSTRA GÖTALANDS LÄN</t>
        </is>
      </c>
      <c r="G212" t="inlineStr">
        <is>
          <t>FÄRGELANDA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46219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48850-2023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45209</v>
      </c>
      <c r="E214" s="1" t="n">
        <v>46219</v>
      </c>
      <c r="F214" t="inlineStr">
        <is>
          <t>VÄSTRA GÖTALANDS LÄN</t>
        </is>
      </c>
      <c r="G214" t="inlineStr">
        <is>
          <t>FÄRGELANDA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60382-2023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46219</v>
      </c>
      <c r="F215" t="inlineStr">
        <is>
          <t>VÄSTRA GÖTALANDS LÄN</t>
        </is>
      </c>
      <c r="G215" t="inlineStr">
        <is>
          <t>FÄRGELANDA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46219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46063</v>
      </c>
      <c r="E217" s="1" t="n">
        <v>46219</v>
      </c>
      <c r="F217" t="inlineStr">
        <is>
          <t>VÄSTRA GÖTALANDS LÄN</t>
        </is>
      </c>
      <c r="G217" t="inlineStr">
        <is>
          <t>FÄRGELANDA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8675-2026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46219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18538-2022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46219</v>
      </c>
      <c r="F219" t="inlineStr">
        <is>
          <t>VÄSTRA GÖTALANDS LÄN</t>
        </is>
      </c>
      <c r="G219" t="inlineStr">
        <is>
          <t>FÄRGELANDA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9090-2026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46219</v>
      </c>
      <c r="F220" t="inlineStr">
        <is>
          <t>VÄSTRA GÖTALANDS LÄN</t>
        </is>
      </c>
      <c r="G220" t="inlineStr">
        <is>
          <t>FÄRGELANDA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51019-2023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45218</v>
      </c>
      <c r="E221" s="1" t="n">
        <v>46219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8920-2026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46219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9418-2026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46219</v>
      </c>
      <c r="F223" t="inlineStr">
        <is>
          <t>VÄSTRA GÖTALANDS LÄN</t>
        </is>
      </c>
      <c r="G223" t="inlineStr">
        <is>
          <t>FÄRGELANDA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9450-2026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46219</v>
      </c>
      <c r="F224" t="inlineStr">
        <is>
          <t>VÄSTRA GÖTALANDS LÄN</t>
        </is>
      </c>
      <c r="G224" t="inlineStr">
        <is>
          <t>FÄRGELANDA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46219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28803-2022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46219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15077-2025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46219</v>
      </c>
      <c r="F227" t="inlineStr">
        <is>
          <t>VÄSTRA GÖTALANDS LÄN</t>
        </is>
      </c>
      <c r="G227" t="inlineStr">
        <is>
          <t>FÄRGELANDA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9441-2026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46219</v>
      </c>
      <c r="F228" t="inlineStr">
        <is>
          <t>VÄSTRA GÖTALANDS LÄN</t>
        </is>
      </c>
      <c r="G228" t="inlineStr">
        <is>
          <t>FÄRGELANDA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9451-2026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46219</v>
      </c>
      <c r="F229" t="inlineStr">
        <is>
          <t>VÄSTRA GÖTALANDS LÄN</t>
        </is>
      </c>
      <c r="G229" t="inlineStr">
        <is>
          <t>FÄRGELANDA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46076</v>
      </c>
      <c r="E230" s="1" t="n">
        <v>46219</v>
      </c>
      <c r="F230" t="inlineStr">
        <is>
          <t>VÄSTRA GÖTALANDS LÄN</t>
        </is>
      </c>
      <c r="G230" t="inlineStr">
        <is>
          <t>FÄRGELANDA</t>
        </is>
      </c>
      <c r="H230" t="inlineStr">
        <is>
          <t>Övriga Aktiebolag</t>
        </is>
      </c>
      <c r="I230" t="n">
        <v>15.3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14014-2025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46219</v>
      </c>
      <c r="F231" t="inlineStr">
        <is>
          <t>VÄSTRA GÖTALANDS LÄN</t>
        </is>
      </c>
      <c r="G231" t="inlineStr">
        <is>
          <t>FÄRGELANDA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18188-2024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45420</v>
      </c>
      <c r="E232" s="1" t="n">
        <v>46219</v>
      </c>
      <c r="F232" t="inlineStr">
        <is>
          <t>VÄSTRA GÖTALANDS LÄN</t>
        </is>
      </c>
      <c r="G232" t="inlineStr">
        <is>
          <t>FÄRGELANDA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44796-2022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44841</v>
      </c>
      <c r="E233" s="1" t="n">
        <v>46219</v>
      </c>
      <c r="F233" t="inlineStr">
        <is>
          <t>VÄSTRA GÖTALANDS LÄN</t>
        </is>
      </c>
      <c r="G233" t="inlineStr">
        <is>
          <t>FÄRGELANDA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9980-2026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46219</v>
      </c>
      <c r="F234" t="inlineStr">
        <is>
          <t>VÄSTRA GÖTALANDS LÄN</t>
        </is>
      </c>
      <c r="G234" t="inlineStr">
        <is>
          <t>FÄRGELANDA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37784-2023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46219</v>
      </c>
      <c r="F235" t="inlineStr">
        <is>
          <t>VÄSTRA GÖTALANDS LÄN</t>
        </is>
      </c>
      <c r="G235" t="inlineStr">
        <is>
          <t>FÄRGELANDA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37787-2023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46219</v>
      </c>
      <c r="F236" t="inlineStr">
        <is>
          <t>VÄSTRA GÖTALANDS LÄN</t>
        </is>
      </c>
      <c r="G236" t="inlineStr">
        <is>
          <t>FÄRGELANDA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37788-2023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46219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59020-2023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45252</v>
      </c>
      <c r="E238" s="1" t="n">
        <v>46219</v>
      </c>
      <c r="F238" t="inlineStr">
        <is>
          <t>VÄSTRA GÖTALANDS LÄN</t>
        </is>
      </c>
      <c r="G238" t="inlineStr">
        <is>
          <t>FÄRGELANDA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11221-2026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46219</v>
      </c>
      <c r="F239" t="inlineStr">
        <is>
          <t>VÄSTRA GÖTALANDS LÄN</t>
        </is>
      </c>
      <c r="G239" t="inlineStr">
        <is>
          <t>FÄRGELANDA</t>
        </is>
      </c>
      <c r="I239" t="n">
        <v>9.5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11223-2026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46219</v>
      </c>
      <c r="F240" t="inlineStr">
        <is>
          <t>VÄSTRA GÖTALANDS LÄN</t>
        </is>
      </c>
      <c r="G240" t="inlineStr">
        <is>
          <t>FÄRGELANDA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46219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24082-2025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46219</v>
      </c>
      <c r="F242" t="inlineStr">
        <is>
          <t>VÄSTRA GÖTALANDS LÄN</t>
        </is>
      </c>
      <c r="G242" t="inlineStr">
        <is>
          <t>FÄRGELANDA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46219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46219</v>
      </c>
      <c r="F244" t="inlineStr">
        <is>
          <t>VÄSTRA GÖTALANDS LÄN</t>
        </is>
      </c>
      <c r="G244" t="inlineStr">
        <is>
          <t>FÄRGELANDA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46086</v>
      </c>
      <c r="E245" s="1" t="n">
        <v>46219</v>
      </c>
      <c r="F245" t="inlineStr">
        <is>
          <t>VÄSTRA GÖTALANDS LÄN</t>
        </is>
      </c>
      <c r="G245" t="inlineStr">
        <is>
          <t>FÄRGELANDA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30993-2022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44768</v>
      </c>
      <c r="E246" s="1" t="n">
        <v>46219</v>
      </c>
      <c r="F246" t="inlineStr">
        <is>
          <t>VÄSTRA GÖTALANDS LÄN</t>
        </is>
      </c>
      <c r="G246" t="inlineStr">
        <is>
          <t>FÄRGELANDA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12349-2026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46219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12824-2026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46219</v>
      </c>
      <c r="F248" t="inlineStr">
        <is>
          <t>VÄSTRA GÖTALANDS LÄN</t>
        </is>
      </c>
      <c r="G248" t="inlineStr">
        <is>
          <t>FÄRGELANDA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21547-2022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44706</v>
      </c>
      <c r="E249" s="1" t="n">
        <v>46219</v>
      </c>
      <c r="F249" t="inlineStr">
        <is>
          <t>VÄSTRA GÖTALANDS LÄN</t>
        </is>
      </c>
      <c r="G249" t="inlineStr">
        <is>
          <t>FÄRGELANDA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8574-2024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45355</v>
      </c>
      <c r="E250" s="1" t="n">
        <v>46219</v>
      </c>
      <c r="F250" t="inlineStr">
        <is>
          <t>VÄSTRA GÖTALANDS LÄN</t>
        </is>
      </c>
      <c r="G250" t="inlineStr">
        <is>
          <t>FÄRGELANDA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46037-2023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46219</v>
      </c>
      <c r="F251" t="inlineStr">
        <is>
          <t>VÄSTRA GÖTALANDS LÄN</t>
        </is>
      </c>
      <c r="G251" t="inlineStr">
        <is>
          <t>FÄRGELANDA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46219</v>
      </c>
      <c r="F252" t="inlineStr">
        <is>
          <t>VÄSTRA GÖTALANDS LÄN</t>
        </is>
      </c>
      <c r="G252" t="inlineStr">
        <is>
          <t>FÄRGELANDA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46219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24731-2025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46219</v>
      </c>
      <c r="F254" t="inlineStr">
        <is>
          <t>VÄSTRA GÖTALANDS LÄN</t>
        </is>
      </c>
      <c r="G254" t="inlineStr">
        <is>
          <t>FÄRGELANDA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25095-2025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46219</v>
      </c>
      <c r="F255" t="inlineStr">
        <is>
          <t>VÄSTRA GÖTALANDS LÄN</t>
        </is>
      </c>
      <c r="G255" t="inlineStr">
        <is>
          <t>FÄRGELANDA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14662-2026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46219</v>
      </c>
      <c r="F256" t="inlineStr">
        <is>
          <t>VÄSTRA GÖTALANDS LÄN</t>
        </is>
      </c>
      <c r="G256" t="inlineStr">
        <is>
          <t>FÄRGELANDA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56616-2022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46219</v>
      </c>
      <c r="F257" t="inlineStr">
        <is>
          <t>VÄSTRA GÖTALANDS LÄN</t>
        </is>
      </c>
      <c r="G257" t="inlineStr">
        <is>
          <t>FÄRGELANDA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24751-2025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46219</v>
      </c>
      <c r="F258" t="inlineStr">
        <is>
          <t>VÄSTRA GÖTALANDS LÄN</t>
        </is>
      </c>
      <c r="G258" t="inlineStr">
        <is>
          <t>FÄRGELANDA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10381-2022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44623</v>
      </c>
      <c r="E259" s="1" t="n">
        <v>46219</v>
      </c>
      <c r="F259" t="inlineStr">
        <is>
          <t>VÄSTRA GÖTALANDS LÄN</t>
        </is>
      </c>
      <c r="G259" t="inlineStr">
        <is>
          <t>FÄRGELANDA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46219</v>
      </c>
      <c r="F260" t="inlineStr">
        <is>
          <t>VÄSTRA GÖTALANDS LÄN</t>
        </is>
      </c>
      <c r="G260" t="inlineStr">
        <is>
          <t>FÄRGELANDA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46219</v>
      </c>
      <c r="F261" t="inlineStr">
        <is>
          <t>VÄSTRA GÖTALANDS LÄN</t>
        </is>
      </c>
      <c r="G261" t="inlineStr">
        <is>
          <t>FÄRGELANDA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47461-2023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46219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26292-2025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45805</v>
      </c>
      <c r="E263" s="1" t="n">
        <v>46219</v>
      </c>
      <c r="F263" t="inlineStr">
        <is>
          <t>VÄSTRA GÖTALANDS LÄN</t>
        </is>
      </c>
      <c r="G263" t="inlineStr">
        <is>
          <t>FÄRGELANDA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44879</v>
      </c>
      <c r="E264" s="1" t="n">
        <v>46219</v>
      </c>
      <c r="F264" t="inlineStr">
        <is>
          <t>VÄSTRA GÖTALANDS LÄN</t>
        </is>
      </c>
      <c r="G264" t="inlineStr">
        <is>
          <t>FÄRGELANDA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50009-2024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45598</v>
      </c>
      <c r="E265" s="1" t="n">
        <v>46219</v>
      </c>
      <c r="F265" t="inlineStr">
        <is>
          <t>VÄSTRA GÖTALANDS LÄN</t>
        </is>
      </c>
      <c r="G265" t="inlineStr">
        <is>
          <t>FÄRGELANDA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16836-2026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46219</v>
      </c>
      <c r="F266" t="inlineStr">
        <is>
          <t>VÄSTRA GÖTALANDS LÄN</t>
        </is>
      </c>
      <c r="G266" t="inlineStr">
        <is>
          <t>FÄRGELANDA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72612-2021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44546</v>
      </c>
      <c r="E267" s="1" t="n">
        <v>46219</v>
      </c>
      <c r="F267" t="inlineStr">
        <is>
          <t>VÄSTRA GÖTALANDS LÄN</t>
        </is>
      </c>
      <c r="G267" t="inlineStr">
        <is>
          <t>FÄRGELANDA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17375-2026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46219</v>
      </c>
      <c r="F268" t="inlineStr">
        <is>
          <t>VÄSTRA GÖTALANDS LÄN</t>
        </is>
      </c>
      <c r="G268" t="inlineStr">
        <is>
          <t>FÄRGELANDA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17749-2026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46219</v>
      </c>
      <c r="F269" t="inlineStr">
        <is>
          <t>VÄSTRA GÖTALANDS LÄN</t>
        </is>
      </c>
      <c r="G269" t="inlineStr">
        <is>
          <t>FÄRGELANDA</t>
        </is>
      </c>
      <c r="H269" t="inlineStr">
        <is>
          <t>Övriga Aktiebolag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17777-2026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46219</v>
      </c>
      <c r="F270" t="inlineStr">
        <is>
          <t>VÄSTRA GÖTALANDS LÄN</t>
        </is>
      </c>
      <c r="G270" t="inlineStr">
        <is>
          <t>FÄRGELANDA</t>
        </is>
      </c>
      <c r="H270" t="inlineStr">
        <is>
          <t>Övriga Aktiebolag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62146-2023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46219</v>
      </c>
      <c r="F271" t="inlineStr">
        <is>
          <t>VÄSTRA GÖTALANDS LÄN</t>
        </is>
      </c>
      <c r="G271" t="inlineStr">
        <is>
          <t>FÄRGELANDA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46219</v>
      </c>
      <c r="F272" t="inlineStr">
        <is>
          <t>VÄSTRA GÖTALANDS LÄN</t>
        </is>
      </c>
      <c r="G272" t="inlineStr">
        <is>
          <t>FÄRGELANDA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46219</v>
      </c>
      <c r="F273" t="inlineStr">
        <is>
          <t>VÄSTRA GÖTALANDS LÄN</t>
        </is>
      </c>
      <c r="G273" t="inlineStr">
        <is>
          <t>FÄRGELANDA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17887-2026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46219</v>
      </c>
      <c r="F274" t="inlineStr">
        <is>
          <t>VÄSTRA GÖTALANDS LÄN</t>
        </is>
      </c>
      <c r="G274" t="inlineStr">
        <is>
          <t>FÄRGELANDA</t>
        </is>
      </c>
      <c r="H274" t="inlineStr">
        <is>
          <t>Övriga Aktiebolag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46219</v>
      </c>
      <c r="F275" t="inlineStr">
        <is>
          <t>VÄSTRA GÖTALANDS LÄN</t>
        </is>
      </c>
      <c r="G275" t="inlineStr">
        <is>
          <t>FÄRGELANDA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46219</v>
      </c>
      <c r="F276" t="inlineStr">
        <is>
          <t>VÄSTRA GÖTALANDS LÄN</t>
        </is>
      </c>
      <c r="G276" t="inlineStr">
        <is>
          <t>FÄRGELANDA</t>
        </is>
      </c>
      <c r="H276" t="inlineStr">
        <is>
          <t>Kommuner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46219</v>
      </c>
      <c r="F277" t="inlineStr">
        <is>
          <t>VÄSTRA GÖTALANDS LÄN</t>
        </is>
      </c>
      <c r="G277" t="inlineStr">
        <is>
          <t>FÄRGELANDA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17991-2026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46219</v>
      </c>
      <c r="F278" t="inlineStr">
        <is>
          <t>VÄSTRA GÖTALANDS LÄN</t>
        </is>
      </c>
      <c r="G278" t="inlineStr">
        <is>
          <t>FÄRGELANDA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61698-2021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44501</v>
      </c>
      <c r="E279" s="1" t="n">
        <v>46219</v>
      </c>
      <c r="F279" t="inlineStr">
        <is>
          <t>VÄSTRA GÖTALANDS LÄN</t>
        </is>
      </c>
      <c r="G279" t="inlineStr">
        <is>
          <t>FÄRGELANDA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27054-2025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46219</v>
      </c>
      <c r="F280" t="inlineStr">
        <is>
          <t>VÄSTRA GÖTALANDS LÄN</t>
        </is>
      </c>
      <c r="G280" t="inlineStr">
        <is>
          <t>FÄRGELANDA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50454-2021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44459</v>
      </c>
      <c r="E281" s="1" t="n">
        <v>46219</v>
      </c>
      <c r="F281" t="inlineStr">
        <is>
          <t>VÄSTRA GÖTALANDS LÄN</t>
        </is>
      </c>
      <c r="G281" t="inlineStr">
        <is>
          <t>FÄRGELANDA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17586-2023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45034</v>
      </c>
      <c r="E282" s="1" t="n">
        <v>46219</v>
      </c>
      <c r="F282" t="inlineStr">
        <is>
          <t>VÄSTRA GÖTALANDS LÄN</t>
        </is>
      </c>
      <c r="G282" t="inlineStr">
        <is>
          <t>FÄRGELANDA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27755-2025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45815</v>
      </c>
      <c r="E283" s="1" t="n">
        <v>46219</v>
      </c>
      <c r="F283" t="inlineStr">
        <is>
          <t>VÄSTRA GÖTALANDS LÄN</t>
        </is>
      </c>
      <c r="G283" t="inlineStr">
        <is>
          <t>FÄRGELANDA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19494-2026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46219</v>
      </c>
      <c r="F284" t="inlineStr">
        <is>
          <t>VÄSTRA GÖTALANDS LÄN</t>
        </is>
      </c>
      <c r="G284" t="inlineStr">
        <is>
          <t>FÄRGELANDA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22721-2023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46219</v>
      </c>
      <c r="F285" t="inlineStr">
        <is>
          <t>VÄSTRA GÖTALANDS LÄN</t>
        </is>
      </c>
      <c r="G285" t="inlineStr">
        <is>
          <t>FÄRGELANDA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29014-2024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45481</v>
      </c>
      <c r="E286" s="1" t="n">
        <v>46219</v>
      </c>
      <c r="F286" t="inlineStr">
        <is>
          <t>VÄSTRA GÖTALANDS LÄN</t>
        </is>
      </c>
      <c r="G286" t="inlineStr">
        <is>
          <t>FÄRGELANDA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46040-2021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44441</v>
      </c>
      <c r="E287" s="1" t="n">
        <v>46219</v>
      </c>
      <c r="F287" t="inlineStr">
        <is>
          <t>VÄSTRA GÖTALANDS LÄN</t>
        </is>
      </c>
      <c r="G287" t="inlineStr">
        <is>
          <t>FÄRGELANDA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46219</v>
      </c>
      <c r="F288" t="inlineStr">
        <is>
          <t>VÄSTRA GÖTALANDS LÄN</t>
        </is>
      </c>
      <c r="G288" t="inlineStr">
        <is>
          <t>FÄRGELANDA</t>
        </is>
      </c>
      <c r="I288" t="n">
        <v>11.3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45308</v>
      </c>
      <c r="E289" s="1" t="n">
        <v>46219</v>
      </c>
      <c r="F289" t="inlineStr">
        <is>
          <t>VÄSTRA GÖTALANDS LÄN</t>
        </is>
      </c>
      <c r="G289" t="inlineStr">
        <is>
          <t>FÄRGELANDA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21588-2022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44706</v>
      </c>
      <c r="E290" s="1" t="n">
        <v>46219</v>
      </c>
      <c r="F290" t="inlineStr">
        <is>
          <t>VÄSTRA GÖTALANDS LÄN</t>
        </is>
      </c>
      <c r="G290" t="inlineStr">
        <is>
          <t>FÄRGELANDA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25568-2026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46219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46219</v>
      </c>
      <c r="F292" t="inlineStr">
        <is>
          <t>VÄSTRA GÖTALANDS LÄN</t>
        </is>
      </c>
      <c r="G292" t="inlineStr">
        <is>
          <t>FÄRGELANDA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20046-2026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46219</v>
      </c>
      <c r="F293" t="inlineStr">
        <is>
          <t>VÄSTRA GÖTALANDS LÄN</t>
        </is>
      </c>
      <c r="G293" t="inlineStr">
        <is>
          <t>FÄRGELANDA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45832</v>
      </c>
      <c r="E294" s="1" t="n">
        <v>46219</v>
      </c>
      <c r="F294" t="inlineStr">
        <is>
          <t>VÄSTRA GÖTALANDS LÄN</t>
        </is>
      </c>
      <c r="G294" t="inlineStr">
        <is>
          <t>FÄRGELANDA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30994-2025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45832</v>
      </c>
      <c r="E295" s="1" t="n">
        <v>46219</v>
      </c>
      <c r="F295" t="inlineStr">
        <is>
          <t>VÄSTRA GÖTALANDS LÄN</t>
        </is>
      </c>
      <c r="G295" t="inlineStr">
        <is>
          <t>FÄRGELANDA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30737-2025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45831</v>
      </c>
      <c r="E296" s="1" t="n">
        <v>46219</v>
      </c>
      <c r="F296" t="inlineStr">
        <is>
          <t>VÄSTRA GÖTALANDS LÄN</t>
        </is>
      </c>
      <c r="G296" t="inlineStr">
        <is>
          <t>FÄRGELANDA</t>
        </is>
      </c>
      <c r="I296" t="n">
        <v>7.6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18932-2024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45427</v>
      </c>
      <c r="E297" s="1" t="n">
        <v>46219</v>
      </c>
      <c r="F297" t="inlineStr">
        <is>
          <t>VÄSTRA GÖTALANDS LÄN</t>
        </is>
      </c>
      <c r="G297" t="inlineStr">
        <is>
          <t>FÄRGELANDA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53584-2024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45614</v>
      </c>
      <c r="E298" s="1" t="n">
        <v>46219</v>
      </c>
      <c r="F298" t="inlineStr">
        <is>
          <t>VÄSTRA GÖTALANDS LÄN</t>
        </is>
      </c>
      <c r="G298" t="inlineStr">
        <is>
          <t>FÄRGELANDA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42257-2025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45904</v>
      </c>
      <c r="E299" s="1" t="n">
        <v>46219</v>
      </c>
      <c r="F299" t="inlineStr">
        <is>
          <t>VÄSTRA GÖTALANDS LÄN</t>
        </is>
      </c>
      <c r="G299" t="inlineStr">
        <is>
          <t>FÄRGELANDA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1021-2023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46219</v>
      </c>
      <c r="F300" t="inlineStr">
        <is>
          <t>VÄSTRA GÖTALANDS LÄN</t>
        </is>
      </c>
      <c r="G300" t="inlineStr">
        <is>
          <t>FÄRGELANDA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44928</v>
      </c>
      <c r="E301" s="1" t="n">
        <v>46219</v>
      </c>
      <c r="F301" t="inlineStr">
        <is>
          <t>VÄSTRA GÖTALANDS LÄN</t>
        </is>
      </c>
      <c r="G301" t="inlineStr">
        <is>
          <t>FÄRGELANDA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12533-2025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46219</v>
      </c>
      <c r="F302" t="inlineStr">
        <is>
          <t>VÄSTRA GÖTALANDS LÄN</t>
        </is>
      </c>
      <c r="G302" t="inlineStr">
        <is>
          <t>FÄRGELANDA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8819-2025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46219</v>
      </c>
      <c r="F303" t="inlineStr">
        <is>
          <t>VÄSTRA GÖTALANDS LÄN</t>
        </is>
      </c>
      <c r="G303" t="inlineStr">
        <is>
          <t>FÄRGELANDA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13960-2024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46219</v>
      </c>
      <c r="F304" t="inlineStr">
        <is>
          <t>VÄSTRA GÖTALANDS LÄN</t>
        </is>
      </c>
      <c r="G304" t="inlineStr">
        <is>
          <t>FÄRGELANDA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20861-2025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46219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31984-2025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46219</v>
      </c>
      <c r="F306" t="inlineStr">
        <is>
          <t>VÄSTRA GÖTALANDS LÄN</t>
        </is>
      </c>
      <c r="G306" t="inlineStr">
        <is>
          <t>FÄRGELANDA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31996-2025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46219</v>
      </c>
      <c r="F307" t="inlineStr">
        <is>
          <t>VÄSTRA GÖTALANDS LÄN</t>
        </is>
      </c>
      <c r="G307" t="inlineStr">
        <is>
          <t>FÄRGELANDA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32013-2025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46219</v>
      </c>
      <c r="F308" t="inlineStr">
        <is>
          <t>VÄSTRA GÖTALANDS LÄN</t>
        </is>
      </c>
      <c r="G308" t="inlineStr">
        <is>
          <t>FÄRGELANDA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45693</v>
      </c>
      <c r="E309" s="1" t="n">
        <v>46219</v>
      </c>
      <c r="F309" t="inlineStr">
        <is>
          <t>VÄSTRA GÖTALANDS LÄN</t>
        </is>
      </c>
      <c r="G309" t="inlineStr">
        <is>
          <t>FÄRGELANDA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19386-2023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45049</v>
      </c>
      <c r="E310" s="1" t="n">
        <v>46219</v>
      </c>
      <c r="F310" t="inlineStr">
        <is>
          <t>VÄSTRA GÖTALANDS LÄN</t>
        </is>
      </c>
      <c r="G310" t="inlineStr">
        <is>
          <t>FÄRGELANDA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20266-2026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46219</v>
      </c>
      <c r="F311" t="inlineStr">
        <is>
          <t>VÄSTRA GÖTALANDS LÄN</t>
        </is>
      </c>
      <c r="G311" t="inlineStr">
        <is>
          <t>FÄRGELANDA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39962-2023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45168</v>
      </c>
      <c r="E312" s="1" t="n">
        <v>46219</v>
      </c>
      <c r="F312" t="inlineStr">
        <is>
          <t>VÄSTRA GÖTALANDS LÄN</t>
        </is>
      </c>
      <c r="G312" t="inlineStr">
        <is>
          <t>FÄRGELANDA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17565-2026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46219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45833-2022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44846</v>
      </c>
      <c r="E314" s="1" t="n">
        <v>46219</v>
      </c>
      <c r="F314" t="inlineStr">
        <is>
          <t>VÄSTRA GÖTALANDS LÄN</t>
        </is>
      </c>
      <c r="G314" t="inlineStr">
        <is>
          <t>FÄRGELANDA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28530-2024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45478</v>
      </c>
      <c r="E315" s="1" t="n">
        <v>46219</v>
      </c>
      <c r="F315" t="inlineStr">
        <is>
          <t>VÄSTRA GÖTALANDS LÄN</t>
        </is>
      </c>
      <c r="G315" t="inlineStr">
        <is>
          <t>FÄRGELANDA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45036</v>
      </c>
      <c r="E316" s="1" t="n">
        <v>46219</v>
      </c>
      <c r="F316" t="inlineStr">
        <is>
          <t>VÄSTRA GÖTALANDS LÄN</t>
        </is>
      </c>
      <c r="G316" t="inlineStr">
        <is>
          <t>FÄRGELANDA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40221-2025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46219</v>
      </c>
      <c r="F317" t="inlineStr">
        <is>
          <t>VÄSTRA GÖTALANDS LÄN</t>
        </is>
      </c>
      <c r="G317" t="inlineStr">
        <is>
          <t>FÄRGELANDA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45324</v>
      </c>
      <c r="E318" s="1" t="n">
        <v>46219</v>
      </c>
      <c r="F318" t="inlineStr">
        <is>
          <t>VÄSTRA GÖTALANDS LÄN</t>
        </is>
      </c>
      <c r="G318" t="inlineStr">
        <is>
          <t>FÄRGELANDA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8185-2023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46219</v>
      </c>
      <c r="F319" t="inlineStr">
        <is>
          <t>VÄSTRA GÖTALANDS LÄN</t>
        </is>
      </c>
      <c r="G319" t="inlineStr">
        <is>
          <t>FÄRGELANDA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34379-2025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45846</v>
      </c>
      <c r="E320" s="1" t="n">
        <v>46219</v>
      </c>
      <c r="F320" t="inlineStr">
        <is>
          <t>VÄSTRA GÖTALANDS LÄN</t>
        </is>
      </c>
      <c r="G320" t="inlineStr">
        <is>
          <t>FÄRGELANDA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46038</v>
      </c>
      <c r="E321" s="1" t="n">
        <v>46219</v>
      </c>
      <c r="F321" t="inlineStr">
        <is>
          <t>VÄSTRA GÖTALANDS LÄN</t>
        </is>
      </c>
      <c r="G321" t="inlineStr">
        <is>
          <t>FÄRGELANDA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46219</v>
      </c>
      <c r="F322" t="inlineStr">
        <is>
          <t>VÄSTRA GÖTALANDS LÄN</t>
        </is>
      </c>
      <c r="G322" t="inlineStr">
        <is>
          <t>FÄRGELANDA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51468-2025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46219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2117-2022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44578</v>
      </c>
      <c r="E324" s="1" t="n">
        <v>46219</v>
      </c>
      <c r="F324" t="inlineStr">
        <is>
          <t>VÄSTRA GÖTALANDS LÄN</t>
        </is>
      </c>
      <c r="G324" t="inlineStr">
        <is>
          <t>FÄRGELANDA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59960-2024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46219</v>
      </c>
      <c r="F325" t="inlineStr">
        <is>
          <t>VÄSTRA GÖTALANDS LÄN</t>
        </is>
      </c>
      <c r="G325" t="inlineStr">
        <is>
          <t>FÄRGELANDA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37067-2025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46219</v>
      </c>
      <c r="F326" t="inlineStr">
        <is>
          <t>VÄSTRA GÖTALANDS LÄN</t>
        </is>
      </c>
      <c r="G326" t="inlineStr">
        <is>
          <t>FÄRGELANDA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17486-2025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45757</v>
      </c>
      <c r="E327" s="1" t="n">
        <v>46219</v>
      </c>
      <c r="F327" t="inlineStr">
        <is>
          <t>VÄSTRA GÖTALANDS LÄN</t>
        </is>
      </c>
      <c r="G327" t="inlineStr">
        <is>
          <t>FÄRGELANDA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27284-2026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46219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27593-2026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46219</v>
      </c>
      <c r="F329" t="inlineStr">
        <is>
          <t>VÄSTRA GÖTALANDS LÄN</t>
        </is>
      </c>
      <c r="G329" t="inlineStr">
        <is>
          <t>FÄRGELANDA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27926-2026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46219</v>
      </c>
      <c r="F330" t="inlineStr">
        <is>
          <t>VÄSTRA GÖTALANDS LÄN</t>
        </is>
      </c>
      <c r="G330" t="inlineStr">
        <is>
          <t>FÄRGELANDA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21897-2026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46219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28163-2026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46219</v>
      </c>
      <c r="F332" t="inlineStr">
        <is>
          <t>VÄSTRA GÖTALANDS LÄN</t>
        </is>
      </c>
      <c r="G332" t="inlineStr">
        <is>
          <t>FÄRGELANDA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28106-2026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46219</v>
      </c>
      <c r="F333" t="inlineStr">
        <is>
          <t>VÄSTRA GÖTALANDS LÄN</t>
        </is>
      </c>
      <c r="G333" t="inlineStr">
        <is>
          <t>FÄRGELANDA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22679-2026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46156</v>
      </c>
      <c r="E334" s="1" t="n">
        <v>46219</v>
      </c>
      <c r="F334" t="inlineStr">
        <is>
          <t>VÄSTRA GÖTALANDS LÄN</t>
        </is>
      </c>
      <c r="G334" t="inlineStr">
        <is>
          <t>FÄRGELANDA</t>
        </is>
      </c>
      <c r="I334" t="n">
        <v>20.6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48479-2025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46219</v>
      </c>
      <c r="F335" t="inlineStr">
        <is>
          <t>VÄSTRA GÖTALANDS LÄN</t>
        </is>
      </c>
      <c r="G335" t="inlineStr">
        <is>
          <t>FÄRGELANDA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46219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2026-07-16T01:26:59Z</dcterms:created>
  <dcterms:modified xmlns:dcterms="http://purl.org/dc/terms/" xmlns:xsi="http://www.w3.org/2001/XMLSchema-instance" xsi:type="dcterms:W3CDTF">2026-07-16T01:27:00Z</dcterms:modified>
</cp:coreProperties>
</file>