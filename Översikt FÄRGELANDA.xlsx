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45273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45273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45273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44564-2021</t>
        </is>
      </c>
      <c r="B5" s="1" t="n">
        <v>44435</v>
      </c>
      <c r="C5" s="1" t="n">
        <v>45273</v>
      </c>
      <c r="D5" t="inlineStr">
        <is>
          <t>VÄSTRA GÖTALANDS LÄN</t>
        </is>
      </c>
      <c r="E5" t="inlineStr">
        <is>
          <t>FÄRGELANDA</t>
        </is>
      </c>
      <c r="G5" t="n">
        <v>7.4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Kvällsmaskros
Bårdlav</t>
        </is>
      </c>
      <c r="S5">
        <f>HYPERLINK("https://klasma.github.io/Logging_1439/artfynd/A 44564-2021 artfynd.xlsx", "A 44564-2021")</f>
        <v/>
      </c>
      <c r="T5">
        <f>HYPERLINK("https://klasma.github.io/Logging_1439/kartor/A 44564-2021 karta.png", "A 44564-2021")</f>
        <v/>
      </c>
      <c r="V5">
        <f>HYPERLINK("https://klasma.github.io/Logging_1439/klagomål/A 44564-2021 FSC-klagomål.docx", "A 44564-2021")</f>
        <v/>
      </c>
      <c r="W5">
        <f>HYPERLINK("https://klasma.github.io/Logging_1439/klagomålsmail/A 44564-2021 FSC-klagomål mail.docx", "A 44564-2021")</f>
        <v/>
      </c>
      <c r="X5">
        <f>HYPERLINK("https://klasma.github.io/Logging_1439/tillsyn/A 44564-2021 tillsynsbegäran.docx", "A 44564-2021")</f>
        <v/>
      </c>
      <c r="Y5">
        <f>HYPERLINK("https://klasma.github.io/Logging_1439/tillsynsmail/A 44564-2021 tillsynsbegäran mail.docx", "A 44564-2021")</f>
        <v/>
      </c>
    </row>
    <row r="6" ht="15" customHeight="1">
      <c r="A6" t="inlineStr">
        <is>
          <t>A 38498-2022</t>
        </is>
      </c>
      <c r="B6" s="1" t="n">
        <v>44813</v>
      </c>
      <c r="C6" s="1" t="n">
        <v>45273</v>
      </c>
      <c r="D6" t="inlineStr">
        <is>
          <t>VÄSTRA GÖTALANDS LÄN</t>
        </is>
      </c>
      <c r="E6" t="inlineStr">
        <is>
          <t>FÄRGELANDA</t>
        </is>
      </c>
      <c r="G6" t="n">
        <v>4.8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Sårläka</t>
        </is>
      </c>
      <c r="S6">
        <f>HYPERLINK("https://klasma.github.io/Logging_1439/artfynd/A 38498-2022 artfynd.xlsx", "A 38498-2022")</f>
        <v/>
      </c>
      <c r="T6">
        <f>HYPERLINK("https://klasma.github.io/Logging_1439/kartor/A 38498-2022 karta.png", "A 38498-2022")</f>
        <v/>
      </c>
      <c r="V6">
        <f>HYPERLINK("https://klasma.github.io/Logging_1439/klagomål/A 38498-2022 FSC-klagomål.docx", "A 38498-2022")</f>
        <v/>
      </c>
      <c r="W6">
        <f>HYPERLINK("https://klasma.github.io/Logging_1439/klagomålsmail/A 38498-2022 FSC-klagomål mail.docx", "A 38498-2022")</f>
        <v/>
      </c>
      <c r="X6">
        <f>HYPERLINK("https://klasma.github.io/Logging_1439/tillsyn/A 38498-2022 tillsynsbegäran.docx", "A 38498-2022")</f>
        <v/>
      </c>
      <c r="Y6">
        <f>HYPERLINK("https://klasma.github.io/Logging_1439/tillsynsmail/A 38498-2022 tillsynsbegäran mail.docx", "A 38498-2022")</f>
        <v/>
      </c>
    </row>
    <row r="7" ht="15" customHeight="1">
      <c r="A7" t="inlineStr">
        <is>
          <t>A 49406-2018</t>
        </is>
      </c>
      <c r="B7" s="1" t="n">
        <v>43375</v>
      </c>
      <c r="C7" s="1" t="n">
        <v>45273</v>
      </c>
      <c r="D7" t="inlineStr">
        <is>
          <t>VÄSTRA GÖTALANDS LÄN</t>
        </is>
      </c>
      <c r="E7" t="inlineStr">
        <is>
          <t>FÄRGELANDA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HYPERLINK("https://klasma.github.io/Logging_1439/artfynd/A 49406-2018 artfynd.xlsx", "A 49406-2018")</f>
        <v/>
      </c>
      <c r="T7">
        <f>HYPERLINK("https://klasma.github.io/Logging_1439/kartor/A 49406-2018 karta.png", "A 49406-2018")</f>
        <v/>
      </c>
      <c r="V7">
        <f>HYPERLINK("https://klasma.github.io/Logging_1439/klagomål/A 49406-2018 FSC-klagomål.docx", "A 49406-2018")</f>
        <v/>
      </c>
      <c r="W7">
        <f>HYPERLINK("https://klasma.github.io/Logging_1439/klagomålsmail/A 49406-2018 FSC-klagomål mail.docx", "A 49406-2018")</f>
        <v/>
      </c>
      <c r="X7">
        <f>HYPERLINK("https://klasma.github.io/Logging_1439/tillsyn/A 49406-2018 tillsynsbegäran.docx", "A 49406-2018")</f>
        <v/>
      </c>
      <c r="Y7">
        <f>HYPERLINK("https://klasma.github.io/Logging_1439/tillsynsmail/A 49406-2018 tillsynsbegäran mail.docx", "A 49406-2018")</f>
        <v/>
      </c>
    </row>
    <row r="8" ht="15" customHeight="1">
      <c r="A8" t="inlineStr">
        <is>
          <t>A 12851-2020</t>
        </is>
      </c>
      <c r="B8" s="1" t="n">
        <v>43899</v>
      </c>
      <c r="C8" s="1" t="n">
        <v>45273</v>
      </c>
      <c r="D8" t="inlineStr">
        <is>
          <t>VÄSTRA GÖTALANDS LÄN</t>
        </is>
      </c>
      <c r="E8" t="inlineStr">
        <is>
          <t>FÄRGELANDA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aspticka</t>
        </is>
      </c>
      <c r="S8">
        <f>HYPERLINK("https://klasma.github.io/Logging_1439/artfynd/A 12851-2020 artfynd.xlsx", "A 12851-2020")</f>
        <v/>
      </c>
      <c r="T8">
        <f>HYPERLINK("https://klasma.github.io/Logging_1439/kartor/A 12851-2020 karta.png", "A 12851-2020")</f>
        <v/>
      </c>
      <c r="V8">
        <f>HYPERLINK("https://klasma.github.io/Logging_1439/klagomål/A 12851-2020 FSC-klagomål.docx", "A 12851-2020")</f>
        <v/>
      </c>
      <c r="W8">
        <f>HYPERLINK("https://klasma.github.io/Logging_1439/klagomålsmail/A 12851-2020 FSC-klagomål mail.docx", "A 12851-2020")</f>
        <v/>
      </c>
      <c r="X8">
        <f>HYPERLINK("https://klasma.github.io/Logging_1439/tillsyn/A 12851-2020 tillsynsbegäran.docx", "A 12851-2020")</f>
        <v/>
      </c>
      <c r="Y8">
        <f>HYPERLINK("https://klasma.github.io/Logging_1439/tillsynsmail/A 12851-2020 tillsynsbegäran mail.docx", "A 12851-2020")</f>
        <v/>
      </c>
    </row>
    <row r="9" ht="15" customHeight="1">
      <c r="A9" t="inlineStr">
        <is>
          <t>A 43116-2021</t>
        </is>
      </c>
      <c r="B9" s="1" t="n">
        <v>44431</v>
      </c>
      <c r="C9" s="1" t="n">
        <v>45273</v>
      </c>
      <c r="D9" t="inlineStr">
        <is>
          <t>VÄSTRA GÖTALANDS LÄN</t>
        </is>
      </c>
      <c r="E9" t="inlineStr">
        <is>
          <t>FÄRGELANDA</t>
        </is>
      </c>
      <c r="F9" t="inlineStr">
        <is>
          <t>Övriga Aktiebolag</t>
        </is>
      </c>
      <c r="G9" t="n">
        <v>9.9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Tornseglare</t>
        </is>
      </c>
      <c r="S9">
        <f>HYPERLINK("https://klasma.github.io/Logging_1439/artfynd/A 43116-2021 artfynd.xlsx", "A 43116-2021")</f>
        <v/>
      </c>
      <c r="T9">
        <f>HYPERLINK("https://klasma.github.io/Logging_1439/kartor/A 43116-2021 karta.png", "A 43116-2021")</f>
        <v/>
      </c>
      <c r="V9">
        <f>HYPERLINK("https://klasma.github.io/Logging_1439/klagomål/A 43116-2021 FSC-klagomål.docx", "A 43116-2021")</f>
        <v/>
      </c>
      <c r="W9">
        <f>HYPERLINK("https://klasma.github.io/Logging_1439/klagomålsmail/A 43116-2021 FSC-klagomål mail.docx", "A 43116-2021")</f>
        <v/>
      </c>
      <c r="X9">
        <f>HYPERLINK("https://klasma.github.io/Logging_1439/tillsyn/A 43116-2021 tillsynsbegäran.docx", "A 43116-2021")</f>
        <v/>
      </c>
      <c r="Y9">
        <f>HYPERLINK("https://klasma.github.io/Logging_1439/tillsynsmail/A 43116-2021 tillsynsbegäran mail.docx", "A 43116-2021")</f>
        <v/>
      </c>
    </row>
    <row r="10" ht="15" customHeight="1">
      <c r="A10" t="inlineStr">
        <is>
          <t>A 36645-2023</t>
        </is>
      </c>
      <c r="B10" s="1" t="n">
        <v>45153</v>
      </c>
      <c r="C10" s="1" t="n">
        <v>45273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45273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35357-2018</t>
        </is>
      </c>
      <c r="B12" s="1" t="n">
        <v>43325</v>
      </c>
      <c r="C12" s="1" t="n">
        <v>45273</v>
      </c>
      <c r="D12" t="inlineStr">
        <is>
          <t>VÄSTRA GÖTALANDS LÄN</t>
        </is>
      </c>
      <c r="E12" t="inlineStr">
        <is>
          <t>FÄRGELANDA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51454-2018</t>
        </is>
      </c>
      <c r="B13" s="1" t="n">
        <v>43383</v>
      </c>
      <c r="C13" s="1" t="n">
        <v>45273</v>
      </c>
      <c r="D13" t="inlineStr">
        <is>
          <t>VÄSTRA GÖTALANDS LÄN</t>
        </is>
      </c>
      <c r="E13" t="inlineStr">
        <is>
          <t>FÄRGELANDA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53332-2018</t>
        </is>
      </c>
      <c r="B14" s="1" t="n">
        <v>43390</v>
      </c>
      <c r="C14" s="1" t="n">
        <v>45273</v>
      </c>
      <c r="D14" t="inlineStr">
        <is>
          <t>VÄSTRA GÖTALANDS LÄN</t>
        </is>
      </c>
      <c r="E14" t="inlineStr">
        <is>
          <t>FÄRGELANDA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53648-2018</t>
        </is>
      </c>
      <c r="B15" s="1" t="n">
        <v>43391</v>
      </c>
      <c r="C15" s="1" t="n">
        <v>45273</v>
      </c>
      <c r="D15" t="inlineStr">
        <is>
          <t>VÄSTRA GÖTALANDS LÄN</t>
        </is>
      </c>
      <c r="E15" t="inlineStr">
        <is>
          <t>FÄRGELANDA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57174-2018</t>
        </is>
      </c>
      <c r="B16" s="1" t="n">
        <v>43403</v>
      </c>
      <c r="C16" s="1" t="n">
        <v>45273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57185-2018</t>
        </is>
      </c>
      <c r="B17" s="1" t="n">
        <v>43403</v>
      </c>
      <c r="C17" s="1" t="n">
        <v>45273</v>
      </c>
      <c r="D17" t="inlineStr">
        <is>
          <t>VÄSTRA GÖTALANDS LÄN</t>
        </is>
      </c>
      <c r="E17" t="inlineStr">
        <is>
          <t>FÄRGELANDA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57490-2018</t>
        </is>
      </c>
      <c r="B18" s="1" t="n">
        <v>43404</v>
      </c>
      <c r="C18" s="1" t="n">
        <v>45273</v>
      </c>
      <c r="D18" t="inlineStr">
        <is>
          <t>VÄSTRA GÖTALANDS LÄN</t>
        </is>
      </c>
      <c r="E18" t="inlineStr">
        <is>
          <t>FÄRGELANDA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60128-2018</t>
        </is>
      </c>
      <c r="B19" s="1" t="n">
        <v>43412</v>
      </c>
      <c r="C19" s="1" t="n">
        <v>45273</v>
      </c>
      <c r="D19" t="inlineStr">
        <is>
          <t>VÄSTRA GÖTALANDS LÄN</t>
        </is>
      </c>
      <c r="E19" t="inlineStr">
        <is>
          <t>FÄRGELANDA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60234-2018</t>
        </is>
      </c>
      <c r="B20" s="1" t="n">
        <v>43412</v>
      </c>
      <c r="C20" s="1" t="n">
        <v>45273</v>
      </c>
      <c r="D20" t="inlineStr">
        <is>
          <t>VÄSTRA GÖTALANDS LÄN</t>
        </is>
      </c>
      <c r="E20" t="inlineStr">
        <is>
          <t>FÄRGELANDA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62406-2018</t>
        </is>
      </c>
      <c r="B21" s="1" t="n">
        <v>43416</v>
      </c>
      <c r="C21" s="1" t="n">
        <v>45273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63107-2018</t>
        </is>
      </c>
      <c r="B22" s="1" t="n">
        <v>43418</v>
      </c>
      <c r="C22" s="1" t="n">
        <v>45273</v>
      </c>
      <c r="D22" t="inlineStr">
        <is>
          <t>VÄSTRA GÖTALANDS LÄN</t>
        </is>
      </c>
      <c r="E22" t="inlineStr">
        <is>
          <t>FÄRGELANDA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60961-2018</t>
        </is>
      </c>
      <c r="B23" s="1" t="n">
        <v>43423</v>
      </c>
      <c r="C23" s="1" t="n">
        <v>45273</v>
      </c>
      <c r="D23" t="inlineStr">
        <is>
          <t>VÄSTRA GÖTALANDS LÄN</t>
        </is>
      </c>
      <c r="E23" t="inlineStr">
        <is>
          <t>FÄRGELANDA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62609-2018</t>
        </is>
      </c>
      <c r="B24" s="1" t="n">
        <v>43426</v>
      </c>
      <c r="C24" s="1" t="n">
        <v>45273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65941-2018</t>
        </is>
      </c>
      <c r="B25" s="1" t="n">
        <v>43434</v>
      </c>
      <c r="C25" s="1" t="n">
        <v>45273</v>
      </c>
      <c r="D25" t="inlineStr">
        <is>
          <t>VÄSTRA GÖTALANDS LÄN</t>
        </is>
      </c>
      <c r="E25" t="inlineStr">
        <is>
          <t>FÄRGELANDA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65934-2018</t>
        </is>
      </c>
      <c r="B26" s="1" t="n">
        <v>43434</v>
      </c>
      <c r="C26" s="1" t="n">
        <v>45273</v>
      </c>
      <c r="D26" t="inlineStr">
        <is>
          <t>VÄSTRA GÖTALANDS LÄN</t>
        </is>
      </c>
      <c r="E26" t="inlineStr">
        <is>
          <t>FÄRGELANDA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68194-2018</t>
        </is>
      </c>
      <c r="B27" s="1" t="n">
        <v>43437</v>
      </c>
      <c r="C27" s="1" t="n">
        <v>45273</v>
      </c>
      <c r="D27" t="inlineStr">
        <is>
          <t>VÄSTRA GÖTALANDS LÄN</t>
        </is>
      </c>
      <c r="E27" t="inlineStr">
        <is>
          <t>FÄRGELANDA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68490-2018</t>
        </is>
      </c>
      <c r="B28" s="1" t="n">
        <v>43442</v>
      </c>
      <c r="C28" s="1" t="n">
        <v>45273</v>
      </c>
      <c r="D28" t="inlineStr">
        <is>
          <t>VÄSTRA GÖTALANDS LÄN</t>
        </is>
      </c>
      <c r="E28" t="inlineStr">
        <is>
          <t>FÄRGELANDA</t>
        </is>
      </c>
      <c r="G28" t="n">
        <v>18.5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68670-2018</t>
        </is>
      </c>
      <c r="B29" s="1" t="n">
        <v>43444</v>
      </c>
      <c r="C29" s="1" t="n">
        <v>45273</v>
      </c>
      <c r="D29" t="inlineStr">
        <is>
          <t>VÄSTRA GÖTALANDS LÄN</t>
        </is>
      </c>
      <c r="E29" t="inlineStr">
        <is>
          <t>FÄRGELANDA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70750-2018</t>
        </is>
      </c>
      <c r="B30" s="1" t="n">
        <v>43451</v>
      </c>
      <c r="C30" s="1" t="n">
        <v>45273</v>
      </c>
      <c r="D30" t="inlineStr">
        <is>
          <t>VÄSTRA GÖTALANDS LÄN</t>
        </is>
      </c>
      <c r="E30" t="inlineStr">
        <is>
          <t>FÄRGELANDA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70756-2018</t>
        </is>
      </c>
      <c r="B31" s="1" t="n">
        <v>43451</v>
      </c>
      <c r="C31" s="1" t="n">
        <v>45273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70754-2018</t>
        </is>
      </c>
      <c r="B32" s="1" t="n">
        <v>43451</v>
      </c>
      <c r="C32" s="1" t="n">
        <v>45273</v>
      </c>
      <c r="D32" t="inlineStr">
        <is>
          <t>VÄSTRA GÖTALANDS LÄN</t>
        </is>
      </c>
      <c r="E32" t="inlineStr">
        <is>
          <t>FÄRGELANDA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70667-2018</t>
        </is>
      </c>
      <c r="B33" s="1" t="n">
        <v>43451</v>
      </c>
      <c r="C33" s="1" t="n">
        <v>45273</v>
      </c>
      <c r="D33" t="inlineStr">
        <is>
          <t>VÄSTRA GÖTALANDS LÄN</t>
        </is>
      </c>
      <c r="E33" t="inlineStr">
        <is>
          <t>FÄRGELANDA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70757-2018</t>
        </is>
      </c>
      <c r="B34" s="1" t="n">
        <v>43451</v>
      </c>
      <c r="C34" s="1" t="n">
        <v>45273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70753-2018</t>
        </is>
      </c>
      <c r="B35" s="1" t="n">
        <v>43451</v>
      </c>
      <c r="C35" s="1" t="n">
        <v>45273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70521-2018</t>
        </is>
      </c>
      <c r="B36" s="1" t="n">
        <v>43451</v>
      </c>
      <c r="C36" s="1" t="n">
        <v>45273</v>
      </c>
      <c r="D36" t="inlineStr">
        <is>
          <t>VÄSTRA GÖTALANDS LÄN</t>
        </is>
      </c>
      <c r="E36" t="inlineStr">
        <is>
          <t>FÄRGELANDA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70902-2018</t>
        </is>
      </c>
      <c r="B37" s="1" t="n">
        <v>43452</v>
      </c>
      <c r="C37" s="1" t="n">
        <v>45273</v>
      </c>
      <c r="D37" t="inlineStr">
        <is>
          <t>VÄSTRA GÖTALANDS LÄN</t>
        </is>
      </c>
      <c r="E37" t="inlineStr">
        <is>
          <t>FÄRGELANDA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714-2019</t>
        </is>
      </c>
      <c r="B38" s="1" t="n">
        <v>43471</v>
      </c>
      <c r="C38" s="1" t="n">
        <v>45273</v>
      </c>
      <c r="D38" t="inlineStr">
        <is>
          <t>VÄSTRA GÖTALANDS LÄN</t>
        </is>
      </c>
      <c r="E38" t="inlineStr">
        <is>
          <t>FÄRGELANDA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788-2019</t>
        </is>
      </c>
      <c r="B39" s="1" t="n">
        <v>43472</v>
      </c>
      <c r="C39" s="1" t="n">
        <v>45273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3476-2019</t>
        </is>
      </c>
      <c r="B40" s="1" t="n">
        <v>43474</v>
      </c>
      <c r="C40" s="1" t="n">
        <v>45273</v>
      </c>
      <c r="D40" t="inlineStr">
        <is>
          <t>VÄSTRA GÖTALANDS LÄN</t>
        </is>
      </c>
      <c r="E40" t="inlineStr">
        <is>
          <t>FÄRGELANDA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4698-2019</t>
        </is>
      </c>
      <c r="B41" s="1" t="n">
        <v>43479</v>
      </c>
      <c r="C41" s="1" t="n">
        <v>45273</v>
      </c>
      <c r="D41" t="inlineStr">
        <is>
          <t>VÄSTRA GÖTALANDS LÄN</t>
        </is>
      </c>
      <c r="E41" t="inlineStr">
        <is>
          <t>FÄRGELANDA</t>
        </is>
      </c>
      <c r="G41" t="n">
        <v>29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4713-2019</t>
        </is>
      </c>
      <c r="B42" s="1" t="n">
        <v>43479</v>
      </c>
      <c r="C42" s="1" t="n">
        <v>45273</v>
      </c>
      <c r="D42" t="inlineStr">
        <is>
          <t>VÄSTRA GÖTALANDS LÄN</t>
        </is>
      </c>
      <c r="E42" t="inlineStr">
        <is>
          <t>FÄRGELANDA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3009-2019</t>
        </is>
      </c>
      <c r="B43" s="1" t="n">
        <v>43479</v>
      </c>
      <c r="C43" s="1" t="n">
        <v>45273</v>
      </c>
      <c r="D43" t="inlineStr">
        <is>
          <t>VÄSTRA GÖTALANDS LÄN</t>
        </is>
      </c>
      <c r="E43" t="inlineStr">
        <is>
          <t>FÄRGELANDA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4711-2019</t>
        </is>
      </c>
      <c r="B44" s="1" t="n">
        <v>43479</v>
      </c>
      <c r="C44" s="1" t="n">
        <v>45273</v>
      </c>
      <c r="D44" t="inlineStr">
        <is>
          <t>VÄSTRA GÖTALANDS LÄN</t>
        </is>
      </c>
      <c r="E44" t="inlineStr">
        <is>
          <t>FÄRGELANDA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3278-2019</t>
        </is>
      </c>
      <c r="B45" s="1" t="n">
        <v>43480</v>
      </c>
      <c r="C45" s="1" t="n">
        <v>45273</v>
      </c>
      <c r="D45" t="inlineStr">
        <is>
          <t>VÄSTRA GÖTALANDS LÄN</t>
        </is>
      </c>
      <c r="E45" t="inlineStr">
        <is>
          <t>FÄRGELANDA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3675-2019</t>
        </is>
      </c>
      <c r="B46" s="1" t="n">
        <v>43481</v>
      </c>
      <c r="C46" s="1" t="n">
        <v>45273</v>
      </c>
      <c r="D46" t="inlineStr">
        <is>
          <t>VÄSTRA GÖTALANDS LÄN</t>
        </is>
      </c>
      <c r="E46" t="inlineStr">
        <is>
          <t>FÄRGELANDA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3971-2019</t>
        </is>
      </c>
      <c r="B47" s="1" t="n">
        <v>43482</v>
      </c>
      <c r="C47" s="1" t="n">
        <v>45273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5392-2019</t>
        </is>
      </c>
      <c r="B48" s="1" t="n">
        <v>43488</v>
      </c>
      <c r="C48" s="1" t="n">
        <v>45273</v>
      </c>
      <c r="D48" t="inlineStr">
        <is>
          <t>VÄSTRA GÖTALANDS LÄN</t>
        </is>
      </c>
      <c r="E48" t="inlineStr">
        <is>
          <t>FÄRGELANDA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5341-2019</t>
        </is>
      </c>
      <c r="B49" s="1" t="n">
        <v>43488</v>
      </c>
      <c r="C49" s="1" t="n">
        <v>45273</v>
      </c>
      <c r="D49" t="inlineStr">
        <is>
          <t>VÄSTRA GÖTALANDS LÄN</t>
        </is>
      </c>
      <c r="E49" t="inlineStr">
        <is>
          <t>FÄRGELANDA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5383-2019</t>
        </is>
      </c>
      <c r="B50" s="1" t="n">
        <v>43488</v>
      </c>
      <c r="C50" s="1" t="n">
        <v>45273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5402-2019</t>
        </is>
      </c>
      <c r="B51" s="1" t="n">
        <v>43488</v>
      </c>
      <c r="C51" s="1" t="n">
        <v>45273</v>
      </c>
      <c r="D51" t="inlineStr">
        <is>
          <t>VÄSTRA GÖTALANDS LÄN</t>
        </is>
      </c>
      <c r="E51" t="inlineStr">
        <is>
          <t>FÄRGELANDA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5979-2019</t>
        </is>
      </c>
      <c r="B52" s="1" t="n">
        <v>43493</v>
      </c>
      <c r="C52" s="1" t="n">
        <v>45273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6406-2019</t>
        </is>
      </c>
      <c r="B53" s="1" t="n">
        <v>43494</v>
      </c>
      <c r="C53" s="1" t="n">
        <v>45273</v>
      </c>
      <c r="D53" t="inlineStr">
        <is>
          <t>VÄSTRA GÖTALANDS LÄN</t>
        </is>
      </c>
      <c r="E53" t="inlineStr">
        <is>
          <t>FÄRGELANDA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6486-2019</t>
        </is>
      </c>
      <c r="B54" s="1" t="n">
        <v>43494</v>
      </c>
      <c r="C54" s="1" t="n">
        <v>45273</v>
      </c>
      <c r="D54" t="inlineStr">
        <is>
          <t>VÄSTRA GÖTALANDS LÄN</t>
        </is>
      </c>
      <c r="E54" t="inlineStr">
        <is>
          <t>FÄRGELANDA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6550-2019</t>
        </is>
      </c>
      <c r="B55" s="1" t="n">
        <v>43494</v>
      </c>
      <c r="C55" s="1" t="n">
        <v>45273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7043-2019</t>
        </is>
      </c>
      <c r="B56" s="1" t="n">
        <v>43495</v>
      </c>
      <c r="C56" s="1" t="n">
        <v>45273</v>
      </c>
      <c r="D56" t="inlineStr">
        <is>
          <t>VÄSTRA GÖTALANDS LÄN</t>
        </is>
      </c>
      <c r="E56" t="inlineStr">
        <is>
          <t>FÄRGELANDA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7086-2019</t>
        </is>
      </c>
      <c r="B57" s="1" t="n">
        <v>43496</v>
      </c>
      <c r="C57" s="1" t="n">
        <v>45273</v>
      </c>
      <c r="D57" t="inlineStr">
        <is>
          <t>VÄSTRA GÖTALANDS LÄN</t>
        </is>
      </c>
      <c r="E57" t="inlineStr">
        <is>
          <t>FÄRGELANDA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7091-2019</t>
        </is>
      </c>
      <c r="B58" s="1" t="n">
        <v>43496</v>
      </c>
      <c r="C58" s="1" t="n">
        <v>45273</v>
      </c>
      <c r="D58" t="inlineStr">
        <is>
          <t>VÄSTRA GÖTALANDS LÄN</t>
        </is>
      </c>
      <c r="E58" t="inlineStr">
        <is>
          <t>FÄRGELANDA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8683-2019</t>
        </is>
      </c>
      <c r="B59" s="1" t="n">
        <v>43503</v>
      </c>
      <c r="C59" s="1" t="n">
        <v>45273</v>
      </c>
      <c r="D59" t="inlineStr">
        <is>
          <t>VÄSTRA GÖTALANDS LÄN</t>
        </is>
      </c>
      <c r="E59" t="inlineStr">
        <is>
          <t>FÄRGELANDA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10235-2019</t>
        </is>
      </c>
      <c r="B60" s="1" t="n">
        <v>43510</v>
      </c>
      <c r="C60" s="1" t="n">
        <v>45273</v>
      </c>
      <c r="D60" t="inlineStr">
        <is>
          <t>VÄSTRA GÖTALANDS LÄN</t>
        </is>
      </c>
      <c r="E60" t="inlineStr">
        <is>
          <t>FÄRGELANDA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10290-2019</t>
        </is>
      </c>
      <c r="B61" s="1" t="n">
        <v>43511</v>
      </c>
      <c r="C61" s="1" t="n">
        <v>45273</v>
      </c>
      <c r="D61" t="inlineStr">
        <is>
          <t>VÄSTRA GÖTALANDS LÄN</t>
        </is>
      </c>
      <c r="E61" t="inlineStr">
        <is>
          <t>FÄRGELANDA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11145-2019</t>
        </is>
      </c>
      <c r="B62" s="1" t="n">
        <v>43516</v>
      </c>
      <c r="C62" s="1" t="n">
        <v>45273</v>
      </c>
      <c r="D62" t="inlineStr">
        <is>
          <t>VÄSTRA GÖTALANDS LÄN</t>
        </is>
      </c>
      <c r="E62" t="inlineStr">
        <is>
          <t>FÄRGELANDA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11864-2019</t>
        </is>
      </c>
      <c r="B63" s="1" t="n">
        <v>43521</v>
      </c>
      <c r="C63" s="1" t="n">
        <v>45273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12640-2019</t>
        </is>
      </c>
      <c r="B64" s="1" t="n">
        <v>43524</v>
      </c>
      <c r="C64" s="1" t="n">
        <v>45273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12883-2019</t>
        </is>
      </c>
      <c r="B65" s="1" t="n">
        <v>43525</v>
      </c>
      <c r="C65" s="1" t="n">
        <v>45273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12884-2019</t>
        </is>
      </c>
      <c r="B66" s="1" t="n">
        <v>43525</v>
      </c>
      <c r="C66" s="1" t="n">
        <v>45273</v>
      </c>
      <c r="D66" t="inlineStr">
        <is>
          <t>VÄSTRA GÖTALANDS LÄN</t>
        </is>
      </c>
      <c r="E66" t="inlineStr">
        <is>
          <t>FÄRGELANDA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12950-2019</t>
        </is>
      </c>
      <c r="B67" s="1" t="n">
        <v>43526</v>
      </c>
      <c r="C67" s="1" t="n">
        <v>45273</v>
      </c>
      <c r="D67" t="inlineStr">
        <is>
          <t>VÄSTRA GÖTALANDS LÄN</t>
        </is>
      </c>
      <c r="E67" t="inlineStr">
        <is>
          <t>FÄRGELANDA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13019-2019</t>
        </is>
      </c>
      <c r="B68" s="1" t="n">
        <v>43528</v>
      </c>
      <c r="C68" s="1" t="n">
        <v>45273</v>
      </c>
      <c r="D68" t="inlineStr">
        <is>
          <t>VÄSTRA GÖTALANDS LÄN</t>
        </is>
      </c>
      <c r="E68" t="inlineStr">
        <is>
          <t>FÄRGELANDA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13710-2019</t>
        </is>
      </c>
      <c r="B69" s="1" t="n">
        <v>43531</v>
      </c>
      <c r="C69" s="1" t="n">
        <v>45273</v>
      </c>
      <c r="D69" t="inlineStr">
        <is>
          <t>VÄSTRA GÖTALANDS LÄN</t>
        </is>
      </c>
      <c r="E69" t="inlineStr">
        <is>
          <t>FÄRGELANDA</t>
        </is>
      </c>
      <c r="G69" t="n">
        <v>17.5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13714-2019</t>
        </is>
      </c>
      <c r="B70" s="1" t="n">
        <v>43531</v>
      </c>
      <c r="C70" s="1" t="n">
        <v>45273</v>
      </c>
      <c r="D70" t="inlineStr">
        <is>
          <t>VÄSTRA GÖTALANDS LÄN</t>
        </is>
      </c>
      <c r="E70" t="inlineStr">
        <is>
          <t>FÄRGELANDA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14024-2019</t>
        </is>
      </c>
      <c r="B71" s="1" t="n">
        <v>43532</v>
      </c>
      <c r="C71" s="1" t="n">
        <v>45273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14282-2019</t>
        </is>
      </c>
      <c r="B72" s="1" t="n">
        <v>43535</v>
      </c>
      <c r="C72" s="1" t="n">
        <v>45273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15082-2019</t>
        </is>
      </c>
      <c r="B73" s="1" t="n">
        <v>43537</v>
      </c>
      <c r="C73" s="1" t="n">
        <v>45273</v>
      </c>
      <c r="D73" t="inlineStr">
        <is>
          <t>VÄSTRA GÖTALANDS LÄN</t>
        </is>
      </c>
      <c r="E73" t="inlineStr">
        <is>
          <t>FÄRGELANDA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14526-2019</t>
        </is>
      </c>
      <c r="B74" s="1" t="n">
        <v>43537</v>
      </c>
      <c r="C74" s="1" t="n">
        <v>45273</v>
      </c>
      <c r="D74" t="inlineStr">
        <is>
          <t>VÄSTRA GÖTALANDS LÄN</t>
        </is>
      </c>
      <c r="E74" t="inlineStr">
        <is>
          <t>FÄRGELANDA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15234-2019</t>
        </is>
      </c>
      <c r="B75" s="1" t="n">
        <v>43539</v>
      </c>
      <c r="C75" s="1" t="n">
        <v>45273</v>
      </c>
      <c r="D75" t="inlineStr">
        <is>
          <t>VÄSTRA GÖTALANDS LÄN</t>
        </is>
      </c>
      <c r="E75" t="inlineStr">
        <is>
          <t>FÄRGELANDA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15648-2019</t>
        </is>
      </c>
      <c r="B76" s="1" t="n">
        <v>43543</v>
      </c>
      <c r="C76" s="1" t="n">
        <v>45273</v>
      </c>
      <c r="D76" t="inlineStr">
        <is>
          <t>VÄSTRA GÖTALANDS LÄN</t>
        </is>
      </c>
      <c r="E76" t="inlineStr">
        <is>
          <t>FÄRGELANDA</t>
        </is>
      </c>
      <c r="G76" t="n">
        <v>19.1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16216-2019</t>
        </is>
      </c>
      <c r="B77" s="1" t="n">
        <v>43545</v>
      </c>
      <c r="C77" s="1" t="n">
        <v>45273</v>
      </c>
      <c r="D77" t="inlineStr">
        <is>
          <t>VÄSTRA GÖTALANDS LÄN</t>
        </is>
      </c>
      <c r="E77" t="inlineStr">
        <is>
          <t>FÄRGELANDA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16779-2019</t>
        </is>
      </c>
      <c r="B78" s="1" t="n">
        <v>43549</v>
      </c>
      <c r="C78" s="1" t="n">
        <v>45273</v>
      </c>
      <c r="D78" t="inlineStr">
        <is>
          <t>VÄSTRA GÖTALANDS LÄN</t>
        </is>
      </c>
      <c r="E78" t="inlineStr">
        <is>
          <t>FÄRGELANDA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16786-2019</t>
        </is>
      </c>
      <c r="B79" s="1" t="n">
        <v>43549</v>
      </c>
      <c r="C79" s="1" t="n">
        <v>45273</v>
      </c>
      <c r="D79" t="inlineStr">
        <is>
          <t>VÄSTRA GÖTALANDS LÄN</t>
        </is>
      </c>
      <c r="E79" t="inlineStr">
        <is>
          <t>FÄRGELANDA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16792-2019</t>
        </is>
      </c>
      <c r="B80" s="1" t="n">
        <v>43549</v>
      </c>
      <c r="C80" s="1" t="n">
        <v>45273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16721-2019</t>
        </is>
      </c>
      <c r="B81" s="1" t="n">
        <v>43549</v>
      </c>
      <c r="C81" s="1" t="n">
        <v>45273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17362-2019</t>
        </is>
      </c>
      <c r="B82" s="1" t="n">
        <v>43552</v>
      </c>
      <c r="C82" s="1" t="n">
        <v>45273</v>
      </c>
      <c r="D82" t="inlineStr">
        <is>
          <t>VÄSTRA GÖTALANDS LÄN</t>
        </is>
      </c>
      <c r="E82" t="inlineStr">
        <is>
          <t>FÄRGELANDA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18004-2019</t>
        </is>
      </c>
      <c r="B83" s="1" t="n">
        <v>43557</v>
      </c>
      <c r="C83" s="1" t="n">
        <v>45273</v>
      </c>
      <c r="D83" t="inlineStr">
        <is>
          <t>VÄSTRA GÖTALANDS LÄN</t>
        </is>
      </c>
      <c r="E83" t="inlineStr">
        <is>
          <t>FÄRGELANDA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18287-2019</t>
        </is>
      </c>
      <c r="B84" s="1" t="n">
        <v>43558</v>
      </c>
      <c r="C84" s="1" t="n">
        <v>45273</v>
      </c>
      <c r="D84" t="inlineStr">
        <is>
          <t>VÄSTRA GÖTALANDS LÄN</t>
        </is>
      </c>
      <c r="E84" t="inlineStr">
        <is>
          <t>FÄRGELANDA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18288-2019</t>
        </is>
      </c>
      <c r="B85" s="1" t="n">
        <v>43558</v>
      </c>
      <c r="C85" s="1" t="n">
        <v>45273</v>
      </c>
      <c r="D85" t="inlineStr">
        <is>
          <t>VÄSTRA GÖTALANDS LÄN</t>
        </is>
      </c>
      <c r="E85" t="inlineStr">
        <is>
          <t>FÄRGELANDA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18642-2019</t>
        </is>
      </c>
      <c r="B86" s="1" t="n">
        <v>43559</v>
      </c>
      <c r="C86" s="1" t="n">
        <v>45273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18577-2019</t>
        </is>
      </c>
      <c r="B87" s="1" t="n">
        <v>43560</v>
      </c>
      <c r="C87" s="1" t="n">
        <v>45273</v>
      </c>
      <c r="D87" t="inlineStr">
        <is>
          <t>VÄSTRA GÖTALANDS LÄN</t>
        </is>
      </c>
      <c r="E87" t="inlineStr">
        <is>
          <t>FÄRGELANDA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19453-2019</t>
        </is>
      </c>
      <c r="B88" s="1" t="n">
        <v>43565</v>
      </c>
      <c r="C88" s="1" t="n">
        <v>45273</v>
      </c>
      <c r="D88" t="inlineStr">
        <is>
          <t>VÄSTRA GÖTALANDS LÄN</t>
        </is>
      </c>
      <c r="E88" t="inlineStr">
        <is>
          <t>FÄRGELANDA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19458-2019</t>
        </is>
      </c>
      <c r="B89" s="1" t="n">
        <v>43565</v>
      </c>
      <c r="C89" s="1" t="n">
        <v>45273</v>
      </c>
      <c r="D89" t="inlineStr">
        <is>
          <t>VÄSTRA GÖTALANDS LÄN</t>
        </is>
      </c>
      <c r="E89" t="inlineStr">
        <is>
          <t>FÄRGELANDA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19462-2019</t>
        </is>
      </c>
      <c r="B90" s="1" t="n">
        <v>43565</v>
      </c>
      <c r="C90" s="1" t="n">
        <v>45273</v>
      </c>
      <c r="D90" t="inlineStr">
        <is>
          <t>VÄSTRA GÖTALANDS LÄN</t>
        </is>
      </c>
      <c r="E90" t="inlineStr">
        <is>
          <t>FÄRGELANDA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19666-2019</t>
        </is>
      </c>
      <c r="B91" s="1" t="n">
        <v>43566</v>
      </c>
      <c r="C91" s="1" t="n">
        <v>45273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21160-2019</t>
        </is>
      </c>
      <c r="B92" s="1" t="n">
        <v>43579</v>
      </c>
      <c r="C92" s="1" t="n">
        <v>45273</v>
      </c>
      <c r="D92" t="inlineStr">
        <is>
          <t>VÄSTRA GÖTALANDS LÄN</t>
        </is>
      </c>
      <c r="E92" t="inlineStr">
        <is>
          <t>FÄRGELANDA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24361-2019</t>
        </is>
      </c>
      <c r="B93" s="1" t="n">
        <v>43599</v>
      </c>
      <c r="C93" s="1" t="n">
        <v>45273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25772-2019</t>
        </is>
      </c>
      <c r="B94" s="1" t="n">
        <v>43608</v>
      </c>
      <c r="C94" s="1" t="n">
        <v>45273</v>
      </c>
      <c r="D94" t="inlineStr">
        <is>
          <t>VÄSTRA GÖTALANDS LÄN</t>
        </is>
      </c>
      <c r="E94" t="inlineStr">
        <is>
          <t>FÄRGELANDA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26093-2019</t>
        </is>
      </c>
      <c r="B95" s="1" t="n">
        <v>43609</v>
      </c>
      <c r="C95" s="1" t="n">
        <v>45273</v>
      </c>
      <c r="D95" t="inlineStr">
        <is>
          <t>VÄSTRA GÖTALANDS LÄN</t>
        </is>
      </c>
      <c r="E95" t="inlineStr">
        <is>
          <t>FÄRGELANDA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26740-2019</t>
        </is>
      </c>
      <c r="B96" s="1" t="n">
        <v>43613</v>
      </c>
      <c r="C96" s="1" t="n">
        <v>45273</v>
      </c>
      <c r="D96" t="inlineStr">
        <is>
          <t>VÄSTRA GÖTALANDS LÄN</t>
        </is>
      </c>
      <c r="E96" t="inlineStr">
        <is>
          <t>FÄRGELANDA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26659-2019</t>
        </is>
      </c>
      <c r="B97" s="1" t="n">
        <v>43613</v>
      </c>
      <c r="C97" s="1" t="n">
        <v>45273</v>
      </c>
      <c r="D97" t="inlineStr">
        <is>
          <t>VÄSTRA GÖTALANDS LÄN</t>
        </is>
      </c>
      <c r="E97" t="inlineStr">
        <is>
          <t>FÄRGELANDA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27360-2019</t>
        </is>
      </c>
      <c r="B98" s="1" t="n">
        <v>43616</v>
      </c>
      <c r="C98" s="1" t="n">
        <v>45273</v>
      </c>
      <c r="D98" t="inlineStr">
        <is>
          <t>VÄSTRA GÖTALANDS LÄN</t>
        </is>
      </c>
      <c r="E98" t="inlineStr">
        <is>
          <t>FÄRGELANDA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27454-2019</t>
        </is>
      </c>
      <c r="B99" s="1" t="n">
        <v>43618</v>
      </c>
      <c r="C99" s="1" t="n">
        <v>45273</v>
      </c>
      <c r="D99" t="inlineStr">
        <is>
          <t>VÄSTRA GÖTALANDS LÄN</t>
        </is>
      </c>
      <c r="E99" t="inlineStr">
        <is>
          <t>FÄRGELANDA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27730-2019</t>
        </is>
      </c>
      <c r="B100" s="1" t="n">
        <v>43619</v>
      </c>
      <c r="C100" s="1" t="n">
        <v>45273</v>
      </c>
      <c r="D100" t="inlineStr">
        <is>
          <t>VÄSTRA GÖTALANDS LÄN</t>
        </is>
      </c>
      <c r="E100" t="inlineStr">
        <is>
          <t>FÄRGELANDA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27831-2019</t>
        </is>
      </c>
      <c r="B101" s="1" t="n">
        <v>43620</v>
      </c>
      <c r="C101" s="1" t="n">
        <v>45273</v>
      </c>
      <c r="D101" t="inlineStr">
        <is>
          <t>VÄSTRA GÖTALANDS LÄN</t>
        </is>
      </c>
      <c r="E101" t="inlineStr">
        <is>
          <t>FÄRGELANDA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27829-2019</t>
        </is>
      </c>
      <c r="B102" s="1" t="n">
        <v>43620</v>
      </c>
      <c r="C102" s="1" t="n">
        <v>45273</v>
      </c>
      <c r="D102" t="inlineStr">
        <is>
          <t>VÄSTRA GÖTALANDS LÄN</t>
        </is>
      </c>
      <c r="E102" t="inlineStr">
        <is>
          <t>FÄRGELANDA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28040-2019</t>
        </is>
      </c>
      <c r="B103" s="1" t="n">
        <v>43621</v>
      </c>
      <c r="C103" s="1" t="n">
        <v>45273</v>
      </c>
      <c r="D103" t="inlineStr">
        <is>
          <t>VÄSTRA GÖTALANDS LÄN</t>
        </is>
      </c>
      <c r="E103" t="inlineStr">
        <is>
          <t>FÄRGELANDA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29468-2019</t>
        </is>
      </c>
      <c r="B104" s="1" t="n">
        <v>43629</v>
      </c>
      <c r="C104" s="1" t="n">
        <v>45273</v>
      </c>
      <c r="D104" t="inlineStr">
        <is>
          <t>VÄSTRA GÖTALANDS LÄN</t>
        </is>
      </c>
      <c r="E104" t="inlineStr">
        <is>
          <t>FÄRGELANDA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30911-2019</t>
        </is>
      </c>
      <c r="B105" s="1" t="n">
        <v>43636</v>
      </c>
      <c r="C105" s="1" t="n">
        <v>45273</v>
      </c>
      <c r="D105" t="inlineStr">
        <is>
          <t>VÄSTRA GÖTALANDS LÄN</t>
        </is>
      </c>
      <c r="E105" t="inlineStr">
        <is>
          <t>FÄRGELANDA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31039-2019</t>
        </is>
      </c>
      <c r="B106" s="1" t="n">
        <v>43640</v>
      </c>
      <c r="C106" s="1" t="n">
        <v>45273</v>
      </c>
      <c r="D106" t="inlineStr">
        <is>
          <t>VÄSTRA GÖTALANDS LÄN</t>
        </is>
      </c>
      <c r="E106" t="inlineStr">
        <is>
          <t>FÄRGELANDA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31092-2019</t>
        </is>
      </c>
      <c r="B107" s="1" t="n">
        <v>43640</v>
      </c>
      <c r="C107" s="1" t="n">
        <v>45273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34820-2019</t>
        </is>
      </c>
      <c r="B108" s="1" t="n">
        <v>43649</v>
      </c>
      <c r="C108" s="1" t="n">
        <v>45273</v>
      </c>
      <c r="D108" t="inlineStr">
        <is>
          <t>VÄSTRA GÖTALANDS LÄN</t>
        </is>
      </c>
      <c r="E108" t="inlineStr">
        <is>
          <t>FÄRGELANDA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33690-2019</t>
        </is>
      </c>
      <c r="B109" s="1" t="n">
        <v>43651</v>
      </c>
      <c r="C109" s="1" t="n">
        <v>45273</v>
      </c>
      <c r="D109" t="inlineStr">
        <is>
          <t>VÄSTRA GÖTALANDS LÄN</t>
        </is>
      </c>
      <c r="E109" t="inlineStr">
        <is>
          <t>FÄRGELANDA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35204-2019</t>
        </is>
      </c>
      <c r="B110" s="1" t="n">
        <v>43662</v>
      </c>
      <c r="C110" s="1" t="n">
        <v>45273</v>
      </c>
      <c r="D110" t="inlineStr">
        <is>
          <t>VÄSTRA GÖTALANDS LÄN</t>
        </is>
      </c>
      <c r="E110" t="inlineStr">
        <is>
          <t>FÄRGELANDA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37502-2019</t>
        </is>
      </c>
      <c r="B111" s="1" t="n">
        <v>43679</v>
      </c>
      <c r="C111" s="1" t="n">
        <v>45273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38302-2019</t>
        </is>
      </c>
      <c r="B112" s="1" t="n">
        <v>43684</v>
      </c>
      <c r="C112" s="1" t="n">
        <v>45273</v>
      </c>
      <c r="D112" t="inlineStr">
        <is>
          <t>VÄSTRA GÖTALANDS LÄN</t>
        </is>
      </c>
      <c r="E112" t="inlineStr">
        <is>
          <t>FÄRGELANDA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38754-2019</t>
        </is>
      </c>
      <c r="B113" s="1" t="n">
        <v>43686</v>
      </c>
      <c r="C113" s="1" t="n">
        <v>45273</v>
      </c>
      <c r="D113" t="inlineStr">
        <is>
          <t>VÄSTRA GÖTALANDS LÄN</t>
        </is>
      </c>
      <c r="E113" t="inlineStr">
        <is>
          <t>FÄRGELANDA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39608-2019</t>
        </is>
      </c>
      <c r="B114" s="1" t="n">
        <v>43691</v>
      </c>
      <c r="C114" s="1" t="n">
        <v>45273</v>
      </c>
      <c r="D114" t="inlineStr">
        <is>
          <t>VÄSTRA GÖTALANDS LÄN</t>
        </is>
      </c>
      <c r="E114" t="inlineStr">
        <is>
          <t>FÄRGELANDA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43925-2019</t>
        </is>
      </c>
      <c r="B115" s="1" t="n">
        <v>43707</v>
      </c>
      <c r="C115" s="1" t="n">
        <v>45273</v>
      </c>
      <c r="D115" t="inlineStr">
        <is>
          <t>VÄSTRA GÖTALANDS LÄN</t>
        </is>
      </c>
      <c r="E115" t="inlineStr">
        <is>
          <t>FÄRGELANDA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47730-2019</t>
        </is>
      </c>
      <c r="B116" s="1" t="n">
        <v>43724</v>
      </c>
      <c r="C116" s="1" t="n">
        <v>45273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49944-2019</t>
        </is>
      </c>
      <c r="B117" s="1" t="n">
        <v>43733</v>
      </c>
      <c r="C117" s="1" t="n">
        <v>45273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50731-2019</t>
        </is>
      </c>
      <c r="B118" s="1" t="n">
        <v>43738</v>
      </c>
      <c r="C118" s="1" t="n">
        <v>45273</v>
      </c>
      <c r="D118" t="inlineStr">
        <is>
          <t>VÄSTRA GÖTALANDS LÄN</t>
        </is>
      </c>
      <c r="E118" t="inlineStr">
        <is>
          <t>FÄRGELANDA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53463-2019</t>
        </is>
      </c>
      <c r="B119" s="1" t="n">
        <v>43748</v>
      </c>
      <c r="C119" s="1" t="n">
        <v>45273</v>
      </c>
      <c r="D119" t="inlineStr">
        <is>
          <t>VÄSTRA GÖTALANDS LÄN</t>
        </is>
      </c>
      <c r="E119" t="inlineStr">
        <is>
          <t>FÄRGELANDA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55639-2019</t>
        </is>
      </c>
      <c r="B120" s="1" t="n">
        <v>43760</v>
      </c>
      <c r="C120" s="1" t="n">
        <v>45273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56840-2019</t>
        </is>
      </c>
      <c r="B121" s="1" t="n">
        <v>43765</v>
      </c>
      <c r="C121" s="1" t="n">
        <v>45273</v>
      </c>
      <c r="D121" t="inlineStr">
        <is>
          <t>VÄSTRA GÖTALANDS LÄN</t>
        </is>
      </c>
      <c r="E121" t="inlineStr">
        <is>
          <t>FÄRGELANDA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56837-2019</t>
        </is>
      </c>
      <c r="B122" s="1" t="n">
        <v>43765</v>
      </c>
      <c r="C122" s="1" t="n">
        <v>45273</v>
      </c>
      <c r="D122" t="inlineStr">
        <is>
          <t>VÄSTRA GÖTALANDS LÄN</t>
        </is>
      </c>
      <c r="E122" t="inlineStr">
        <is>
          <t>FÄRGELANDA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57678-2019</t>
        </is>
      </c>
      <c r="B123" s="1" t="n">
        <v>43768</v>
      </c>
      <c r="C123" s="1" t="n">
        <v>45273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59126-2019</t>
        </is>
      </c>
      <c r="B124" s="1" t="n">
        <v>43769</v>
      </c>
      <c r="C124" s="1" t="n">
        <v>45273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59131-2019</t>
        </is>
      </c>
      <c r="B125" s="1" t="n">
        <v>43769</v>
      </c>
      <c r="C125" s="1" t="n">
        <v>45273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58992-2019</t>
        </is>
      </c>
      <c r="B126" s="1" t="n">
        <v>43769</v>
      </c>
      <c r="C126" s="1" t="n">
        <v>45273</v>
      </c>
      <c r="D126" t="inlineStr">
        <is>
          <t>VÄSTRA GÖTALANDS LÄN</t>
        </is>
      </c>
      <c r="E126" t="inlineStr">
        <is>
          <t>FÄRGELANDA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58915-2019</t>
        </is>
      </c>
      <c r="B127" s="1" t="n">
        <v>43774</v>
      </c>
      <c r="C127" s="1" t="n">
        <v>45273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58976-2019</t>
        </is>
      </c>
      <c r="B128" s="1" t="n">
        <v>43774</v>
      </c>
      <c r="C128" s="1" t="n">
        <v>45273</v>
      </c>
      <c r="D128" t="inlineStr">
        <is>
          <t>VÄSTRA GÖTALANDS LÄN</t>
        </is>
      </c>
      <c r="E128" t="inlineStr">
        <is>
          <t>FÄRGELANDA</t>
        </is>
      </c>
      <c r="G128" t="n">
        <v>25.8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60689-2019</t>
        </is>
      </c>
      <c r="B129" s="1" t="n">
        <v>43781</v>
      </c>
      <c r="C129" s="1" t="n">
        <v>45273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61151-2019</t>
        </is>
      </c>
      <c r="B130" s="1" t="n">
        <v>43782</v>
      </c>
      <c r="C130" s="1" t="n">
        <v>45273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62306-2019</t>
        </is>
      </c>
      <c r="B131" s="1" t="n">
        <v>43788</v>
      </c>
      <c r="C131" s="1" t="n">
        <v>45273</v>
      </c>
      <c r="D131" t="inlineStr">
        <is>
          <t>VÄSTRA GÖTALANDS LÄN</t>
        </is>
      </c>
      <c r="E131" t="inlineStr">
        <is>
          <t>FÄRGELANDA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63248-2019</t>
        </is>
      </c>
      <c r="B132" s="1" t="n">
        <v>43793</v>
      </c>
      <c r="C132" s="1" t="n">
        <v>45273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63964-2019</t>
        </is>
      </c>
      <c r="B133" s="1" t="n">
        <v>43796</v>
      </c>
      <c r="C133" s="1" t="n">
        <v>45273</v>
      </c>
      <c r="D133" t="inlineStr">
        <is>
          <t>VÄSTRA GÖTALANDS LÄN</t>
        </is>
      </c>
      <c r="E133" t="inlineStr">
        <is>
          <t>FÄRGELANDA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63884-2019</t>
        </is>
      </c>
      <c r="B134" s="1" t="n">
        <v>43796</v>
      </c>
      <c r="C134" s="1" t="n">
        <v>45273</v>
      </c>
      <c r="D134" t="inlineStr">
        <is>
          <t>VÄSTRA GÖTALANDS LÄN</t>
        </is>
      </c>
      <c r="E134" t="inlineStr">
        <is>
          <t>FÄRGELANDA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67845-2019</t>
        </is>
      </c>
      <c r="B135" s="1" t="n">
        <v>43810</v>
      </c>
      <c r="C135" s="1" t="n">
        <v>45273</v>
      </c>
      <c r="D135" t="inlineStr">
        <is>
          <t>VÄSTRA GÖTALANDS LÄN</t>
        </is>
      </c>
      <c r="E135" t="inlineStr">
        <is>
          <t>FÄRGELANDA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67850-2019</t>
        </is>
      </c>
      <c r="B136" s="1" t="n">
        <v>43810</v>
      </c>
      <c r="C136" s="1" t="n">
        <v>45273</v>
      </c>
      <c r="D136" t="inlineStr">
        <is>
          <t>VÄSTRA GÖTALANDS LÄN</t>
        </is>
      </c>
      <c r="E136" t="inlineStr">
        <is>
          <t>FÄRGELANDA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67074-2019</t>
        </is>
      </c>
      <c r="B137" s="1" t="n">
        <v>43811</v>
      </c>
      <c r="C137" s="1" t="n">
        <v>45273</v>
      </c>
      <c r="D137" t="inlineStr">
        <is>
          <t>VÄSTRA GÖTALANDS LÄN</t>
        </is>
      </c>
      <c r="E137" t="inlineStr">
        <is>
          <t>FÄRGELANDA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3345-2020</t>
        </is>
      </c>
      <c r="B138" s="1" t="n">
        <v>43852</v>
      </c>
      <c r="C138" s="1" t="n">
        <v>45273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3446-2020</t>
        </is>
      </c>
      <c r="B139" s="1" t="n">
        <v>43852</v>
      </c>
      <c r="C139" s="1" t="n">
        <v>45273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3398-2020</t>
        </is>
      </c>
      <c r="B140" s="1" t="n">
        <v>43852</v>
      </c>
      <c r="C140" s="1" t="n">
        <v>45273</v>
      </c>
      <c r="D140" t="inlineStr">
        <is>
          <t>VÄSTRA GÖTALANDS LÄN</t>
        </is>
      </c>
      <c r="E140" t="inlineStr">
        <is>
          <t>FÄRGELANDA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3918-2020</t>
        </is>
      </c>
      <c r="B141" s="1" t="n">
        <v>43854</v>
      </c>
      <c r="C141" s="1" t="n">
        <v>45273</v>
      </c>
      <c r="D141" t="inlineStr">
        <is>
          <t>VÄSTRA GÖTALANDS LÄN</t>
        </is>
      </c>
      <c r="E141" t="inlineStr">
        <is>
          <t>FÄRGELANDA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4484-2020</t>
        </is>
      </c>
      <c r="B142" s="1" t="n">
        <v>43858</v>
      </c>
      <c r="C142" s="1" t="n">
        <v>45273</v>
      </c>
      <c r="D142" t="inlineStr">
        <is>
          <t>VÄSTRA GÖTALANDS LÄN</t>
        </is>
      </c>
      <c r="E142" t="inlineStr">
        <is>
          <t>FÄRGELANDA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4500-2020</t>
        </is>
      </c>
      <c r="B143" s="1" t="n">
        <v>43858</v>
      </c>
      <c r="C143" s="1" t="n">
        <v>45273</v>
      </c>
      <c r="D143" t="inlineStr">
        <is>
          <t>VÄSTRA GÖTALANDS LÄN</t>
        </is>
      </c>
      <c r="E143" t="inlineStr">
        <is>
          <t>FÄRGELANDA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5472-2020</t>
        </is>
      </c>
      <c r="B144" s="1" t="n">
        <v>43858</v>
      </c>
      <c r="C144" s="1" t="n">
        <v>45273</v>
      </c>
      <c r="D144" t="inlineStr">
        <is>
          <t>VÄSTRA GÖTALANDS LÄN</t>
        </is>
      </c>
      <c r="E144" t="inlineStr">
        <is>
          <t>FÄRGELANDA</t>
        </is>
      </c>
      <c r="F144" t="inlineStr">
        <is>
          <t>Övriga Aktiebolag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8767-2020</t>
        </is>
      </c>
      <c r="B145" s="1" t="n">
        <v>43878</v>
      </c>
      <c r="C145" s="1" t="n">
        <v>45273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9167-2020</t>
        </is>
      </c>
      <c r="B146" s="1" t="n">
        <v>43879</v>
      </c>
      <c r="C146" s="1" t="n">
        <v>45273</v>
      </c>
      <c r="D146" t="inlineStr">
        <is>
          <t>VÄSTRA GÖTALANDS LÄN</t>
        </is>
      </c>
      <c r="E146" t="inlineStr">
        <is>
          <t>FÄRGELANDA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9622-2020</t>
        </is>
      </c>
      <c r="B147" s="1" t="n">
        <v>43881</v>
      </c>
      <c r="C147" s="1" t="n">
        <v>45273</v>
      </c>
      <c r="D147" t="inlineStr">
        <is>
          <t>VÄSTRA GÖTALANDS LÄN</t>
        </is>
      </c>
      <c r="E147" t="inlineStr">
        <is>
          <t>FÄRGELANDA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10071-2020</t>
        </is>
      </c>
      <c r="B148" s="1" t="n">
        <v>43884</v>
      </c>
      <c r="C148" s="1" t="n">
        <v>45273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11724-2020</t>
        </is>
      </c>
      <c r="B149" s="1" t="n">
        <v>43894</v>
      </c>
      <c r="C149" s="1" t="n">
        <v>45273</v>
      </c>
      <c r="D149" t="inlineStr">
        <is>
          <t>VÄSTRA GÖTALANDS LÄN</t>
        </is>
      </c>
      <c r="E149" t="inlineStr">
        <is>
          <t>FÄRGELANDA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13521-2020</t>
        </is>
      </c>
      <c r="B150" s="1" t="n">
        <v>43902</v>
      </c>
      <c r="C150" s="1" t="n">
        <v>45273</v>
      </c>
      <c r="D150" t="inlineStr">
        <is>
          <t>VÄSTRA GÖTALANDS LÄN</t>
        </is>
      </c>
      <c r="E150" t="inlineStr">
        <is>
          <t>FÄRGELANDA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15102-2020</t>
        </is>
      </c>
      <c r="B151" s="1" t="n">
        <v>43910</v>
      </c>
      <c r="C151" s="1" t="n">
        <v>45273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15601-2020</t>
        </is>
      </c>
      <c r="B152" s="1" t="n">
        <v>43914</v>
      </c>
      <c r="C152" s="1" t="n">
        <v>45273</v>
      </c>
      <c r="D152" t="inlineStr">
        <is>
          <t>VÄSTRA GÖTALANDS LÄN</t>
        </is>
      </c>
      <c r="E152" t="inlineStr">
        <is>
          <t>FÄRGELANDA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15852-2020</t>
        </is>
      </c>
      <c r="B153" s="1" t="n">
        <v>43915</v>
      </c>
      <c r="C153" s="1" t="n">
        <v>45273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15954-2020</t>
        </is>
      </c>
      <c r="B154" s="1" t="n">
        <v>43916</v>
      </c>
      <c r="C154" s="1" t="n">
        <v>45273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17889-2020</t>
        </is>
      </c>
      <c r="B155" s="1" t="n">
        <v>43924</v>
      </c>
      <c r="C155" s="1" t="n">
        <v>45273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17962-2020</t>
        </is>
      </c>
      <c r="B156" s="1" t="n">
        <v>43925</v>
      </c>
      <c r="C156" s="1" t="n">
        <v>45273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17961-2020</t>
        </is>
      </c>
      <c r="B157" s="1" t="n">
        <v>43925</v>
      </c>
      <c r="C157" s="1" t="n">
        <v>45273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18463-2020</t>
        </is>
      </c>
      <c r="B158" s="1" t="n">
        <v>43929</v>
      </c>
      <c r="C158" s="1" t="n">
        <v>45273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19833-2020</t>
        </is>
      </c>
      <c r="B159" s="1" t="n">
        <v>43938</v>
      </c>
      <c r="C159" s="1" t="n">
        <v>45273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19811-2020</t>
        </is>
      </c>
      <c r="B160" s="1" t="n">
        <v>43942</v>
      </c>
      <c r="C160" s="1" t="n">
        <v>45273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20634-2020</t>
        </is>
      </c>
      <c r="B161" s="1" t="n">
        <v>43949</v>
      </c>
      <c r="C161" s="1" t="n">
        <v>45273</v>
      </c>
      <c r="D161" t="inlineStr">
        <is>
          <t>VÄSTRA GÖTALANDS LÄN</t>
        </is>
      </c>
      <c r="E161" t="inlineStr">
        <is>
          <t>FÄRGELANDA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22199-2020</t>
        </is>
      </c>
      <c r="B162" s="1" t="n">
        <v>43962</v>
      </c>
      <c r="C162" s="1" t="n">
        <v>45273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22204-2020</t>
        </is>
      </c>
      <c r="B163" s="1" t="n">
        <v>43962</v>
      </c>
      <c r="C163" s="1" t="n">
        <v>45273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24691-2020</t>
        </is>
      </c>
      <c r="B164" s="1" t="n">
        <v>43978</v>
      </c>
      <c r="C164" s="1" t="n">
        <v>45273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25062-2020</t>
        </is>
      </c>
      <c r="B165" s="1" t="n">
        <v>43979</v>
      </c>
      <c r="C165" s="1" t="n">
        <v>45273</v>
      </c>
      <c r="D165" t="inlineStr">
        <is>
          <t>VÄSTRA GÖTALANDS LÄN</t>
        </is>
      </c>
      <c r="E165" t="inlineStr">
        <is>
          <t>FÄRGELANDA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25987-2020</t>
        </is>
      </c>
      <c r="B166" s="1" t="n">
        <v>43985</v>
      </c>
      <c r="C166" s="1" t="n">
        <v>45273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27447-2020</t>
        </is>
      </c>
      <c r="B167" s="1" t="n">
        <v>43993</v>
      </c>
      <c r="C167" s="1" t="n">
        <v>45273</v>
      </c>
      <c r="D167" t="inlineStr">
        <is>
          <t>VÄSTRA GÖTALANDS LÄN</t>
        </is>
      </c>
      <c r="E167" t="inlineStr">
        <is>
          <t>FÄRGELANDA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29361-2020</t>
        </is>
      </c>
      <c r="B168" s="1" t="n">
        <v>44004</v>
      </c>
      <c r="C168" s="1" t="n">
        <v>45273</v>
      </c>
      <c r="D168" t="inlineStr">
        <is>
          <t>VÄSTRA GÖTALANDS LÄN</t>
        </is>
      </c>
      <c r="E168" t="inlineStr">
        <is>
          <t>FÄRGELANDA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29995-2020</t>
        </is>
      </c>
      <c r="B169" s="1" t="n">
        <v>44006</v>
      </c>
      <c r="C169" s="1" t="n">
        <v>45273</v>
      </c>
      <c r="D169" t="inlineStr">
        <is>
          <t>VÄSTRA GÖTALANDS LÄN</t>
        </is>
      </c>
      <c r="E169" t="inlineStr">
        <is>
          <t>FÄRGELANDA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29980-2020</t>
        </is>
      </c>
      <c r="B170" s="1" t="n">
        <v>44006</v>
      </c>
      <c r="C170" s="1" t="n">
        <v>45273</v>
      </c>
      <c r="D170" t="inlineStr">
        <is>
          <t>VÄSTRA GÖTALANDS LÄN</t>
        </is>
      </c>
      <c r="E170" t="inlineStr">
        <is>
          <t>FÄRGELANDA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29993-2020</t>
        </is>
      </c>
      <c r="B171" s="1" t="n">
        <v>44006</v>
      </c>
      <c r="C171" s="1" t="n">
        <v>45273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31365-2020</t>
        </is>
      </c>
      <c r="B172" s="1" t="n">
        <v>44013</v>
      </c>
      <c r="C172" s="1" t="n">
        <v>45273</v>
      </c>
      <c r="D172" t="inlineStr">
        <is>
          <t>VÄSTRA GÖTALANDS LÄN</t>
        </is>
      </c>
      <c r="E172" t="inlineStr">
        <is>
          <t>FÄRGELANDA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31364-2020</t>
        </is>
      </c>
      <c r="B173" s="1" t="n">
        <v>44013</v>
      </c>
      <c r="C173" s="1" t="n">
        <v>45273</v>
      </c>
      <c r="D173" t="inlineStr">
        <is>
          <t>VÄSTRA GÖTALANDS LÄN</t>
        </is>
      </c>
      <c r="E173" t="inlineStr">
        <is>
          <t>FÄRGELANDA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32337-2020</t>
        </is>
      </c>
      <c r="B174" s="1" t="n">
        <v>44016</v>
      </c>
      <c r="C174" s="1" t="n">
        <v>45273</v>
      </c>
      <c r="D174" t="inlineStr">
        <is>
          <t>VÄSTRA GÖTALANDS LÄN</t>
        </is>
      </c>
      <c r="E174" t="inlineStr">
        <is>
          <t>FÄRGELANDA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32621-2020</t>
        </is>
      </c>
      <c r="B175" s="1" t="n">
        <v>44019</v>
      </c>
      <c r="C175" s="1" t="n">
        <v>45273</v>
      </c>
      <c r="D175" t="inlineStr">
        <is>
          <t>VÄSTRA GÖTALANDS LÄN</t>
        </is>
      </c>
      <c r="E175" t="inlineStr">
        <is>
          <t>FÄRGELANDA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32640-2020</t>
        </is>
      </c>
      <c r="B176" s="1" t="n">
        <v>44019</v>
      </c>
      <c r="C176" s="1" t="n">
        <v>45273</v>
      </c>
      <c r="D176" t="inlineStr">
        <is>
          <t>VÄSTRA GÖTALANDS LÄN</t>
        </is>
      </c>
      <c r="E176" t="inlineStr">
        <is>
          <t>FÄRGELANDA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32624-2020</t>
        </is>
      </c>
      <c r="B177" s="1" t="n">
        <v>44019</v>
      </c>
      <c r="C177" s="1" t="n">
        <v>45273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33978-2020</t>
        </is>
      </c>
      <c r="B178" s="1" t="n">
        <v>44028</v>
      </c>
      <c r="C178" s="1" t="n">
        <v>45273</v>
      </c>
      <c r="D178" t="inlineStr">
        <is>
          <t>VÄSTRA GÖTALANDS LÄN</t>
        </is>
      </c>
      <c r="E178" t="inlineStr">
        <is>
          <t>FÄRGELANDA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34540-2020</t>
        </is>
      </c>
      <c r="B179" s="1" t="n">
        <v>44032</v>
      </c>
      <c r="C179" s="1" t="n">
        <v>45273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35724-2020</t>
        </is>
      </c>
      <c r="B180" s="1" t="n">
        <v>44046</v>
      </c>
      <c r="C180" s="1" t="n">
        <v>45273</v>
      </c>
      <c r="D180" t="inlineStr">
        <is>
          <t>VÄSTRA GÖTALANDS LÄN</t>
        </is>
      </c>
      <c r="E180" t="inlineStr">
        <is>
          <t>FÄRGELANDA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35767-2020</t>
        </is>
      </c>
      <c r="B181" s="1" t="n">
        <v>44046</v>
      </c>
      <c r="C181" s="1" t="n">
        <v>45273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36481-2020</t>
        </is>
      </c>
      <c r="B182" s="1" t="n">
        <v>44050</v>
      </c>
      <c r="C182" s="1" t="n">
        <v>45273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36902-2020</t>
        </is>
      </c>
      <c r="B183" s="1" t="n">
        <v>44053</v>
      </c>
      <c r="C183" s="1" t="n">
        <v>45273</v>
      </c>
      <c r="D183" t="inlineStr">
        <is>
          <t>VÄSTRA GÖTALANDS LÄN</t>
        </is>
      </c>
      <c r="E183" t="inlineStr">
        <is>
          <t>FÄRGELANDA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38862-2020</t>
        </is>
      </c>
      <c r="B184" s="1" t="n">
        <v>44062</v>
      </c>
      <c r="C184" s="1" t="n">
        <v>45273</v>
      </c>
      <c r="D184" t="inlineStr">
        <is>
          <t>VÄSTRA GÖTALANDS LÄN</t>
        </is>
      </c>
      <c r="E184" t="inlineStr">
        <is>
          <t>FÄRGELANDA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41584-2020</t>
        </is>
      </c>
      <c r="B185" s="1" t="n">
        <v>44074</v>
      </c>
      <c r="C185" s="1" t="n">
        <v>45273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43048-2020</t>
        </is>
      </c>
      <c r="B186" s="1" t="n">
        <v>44078</v>
      </c>
      <c r="C186" s="1" t="n">
        <v>45273</v>
      </c>
      <c r="D186" t="inlineStr">
        <is>
          <t>VÄSTRA GÖTALANDS LÄN</t>
        </is>
      </c>
      <c r="E186" t="inlineStr">
        <is>
          <t>FÄRGELANDA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44348-2020</t>
        </is>
      </c>
      <c r="B187" s="1" t="n">
        <v>44084</v>
      </c>
      <c r="C187" s="1" t="n">
        <v>45273</v>
      </c>
      <c r="D187" t="inlineStr">
        <is>
          <t>VÄSTRA GÖTALANDS LÄN</t>
        </is>
      </c>
      <c r="E187" t="inlineStr">
        <is>
          <t>FÄRGELANDA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45059-2020</t>
        </is>
      </c>
      <c r="B188" s="1" t="n">
        <v>44088</v>
      </c>
      <c r="C188" s="1" t="n">
        <v>45273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45057-2020</t>
        </is>
      </c>
      <c r="B189" s="1" t="n">
        <v>44088</v>
      </c>
      <c r="C189" s="1" t="n">
        <v>45273</v>
      </c>
      <c r="D189" t="inlineStr">
        <is>
          <t>VÄSTRA GÖTALANDS LÄN</t>
        </is>
      </c>
      <c r="E189" t="inlineStr">
        <is>
          <t>FÄRGELANDA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47410-2020</t>
        </is>
      </c>
      <c r="B190" s="1" t="n">
        <v>44097</v>
      </c>
      <c r="C190" s="1" t="n">
        <v>45273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50006-2020</t>
        </is>
      </c>
      <c r="B191" s="1" t="n">
        <v>44109</v>
      </c>
      <c r="C191" s="1" t="n">
        <v>45273</v>
      </c>
      <c r="D191" t="inlineStr">
        <is>
          <t>VÄSTRA GÖTALANDS LÄN</t>
        </is>
      </c>
      <c r="E191" t="inlineStr">
        <is>
          <t>FÄRGELANDA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51257-2020</t>
        </is>
      </c>
      <c r="B192" s="1" t="n">
        <v>44112</v>
      </c>
      <c r="C192" s="1" t="n">
        <v>45273</v>
      </c>
      <c r="D192" t="inlineStr">
        <is>
          <t>VÄSTRA GÖTALANDS LÄN</t>
        </is>
      </c>
      <c r="E192" t="inlineStr">
        <is>
          <t>FÄRGELANDA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51261-2020</t>
        </is>
      </c>
      <c r="B193" s="1" t="n">
        <v>44112</v>
      </c>
      <c r="C193" s="1" t="n">
        <v>45273</v>
      </c>
      <c r="D193" t="inlineStr">
        <is>
          <t>VÄSTRA GÖTALANDS LÄN</t>
        </is>
      </c>
      <c r="E193" t="inlineStr">
        <is>
          <t>FÄRGELANDA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54758-2020</t>
        </is>
      </c>
      <c r="B194" s="1" t="n">
        <v>44127</v>
      </c>
      <c r="C194" s="1" t="n">
        <v>45273</v>
      </c>
      <c r="D194" t="inlineStr">
        <is>
          <t>VÄSTRA GÖTALANDS LÄN</t>
        </is>
      </c>
      <c r="E194" t="inlineStr">
        <is>
          <t>FÄRGELANDA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55814-2020</t>
        </is>
      </c>
      <c r="B195" s="1" t="n">
        <v>44132</v>
      </c>
      <c r="C195" s="1" t="n">
        <v>45273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56888-2020</t>
        </is>
      </c>
      <c r="B196" s="1" t="n">
        <v>44138</v>
      </c>
      <c r="C196" s="1" t="n">
        <v>45273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58426-2020</t>
        </is>
      </c>
      <c r="B197" s="1" t="n">
        <v>44145</v>
      </c>
      <c r="C197" s="1" t="n">
        <v>45273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64167-2020</t>
        </is>
      </c>
      <c r="B198" s="1" t="n">
        <v>44167</v>
      </c>
      <c r="C198" s="1" t="n">
        <v>45273</v>
      </c>
      <c r="D198" t="inlineStr">
        <is>
          <t>VÄSTRA GÖTALANDS LÄN</t>
        </is>
      </c>
      <c r="E198" t="inlineStr">
        <is>
          <t>FÄRGELANDA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64782-2020</t>
        </is>
      </c>
      <c r="B199" s="1" t="n">
        <v>44167</v>
      </c>
      <c r="C199" s="1" t="n">
        <v>45273</v>
      </c>
      <c r="D199" t="inlineStr">
        <is>
          <t>VÄSTRA GÖTALANDS LÄN</t>
        </is>
      </c>
      <c r="E199" t="inlineStr">
        <is>
          <t>FÄRGELANDA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64771-2020</t>
        </is>
      </c>
      <c r="B200" s="1" t="n">
        <v>44169</v>
      </c>
      <c r="C200" s="1" t="n">
        <v>45273</v>
      </c>
      <c r="D200" t="inlineStr">
        <is>
          <t>VÄSTRA GÖTALANDS LÄN</t>
        </is>
      </c>
      <c r="E200" t="inlineStr">
        <is>
          <t>FÄRGELANDA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64774-2020</t>
        </is>
      </c>
      <c r="B201" s="1" t="n">
        <v>44169</v>
      </c>
      <c r="C201" s="1" t="n">
        <v>45273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65511-2020</t>
        </is>
      </c>
      <c r="B202" s="1" t="n">
        <v>44172</v>
      </c>
      <c r="C202" s="1" t="n">
        <v>45273</v>
      </c>
      <c r="D202" t="inlineStr">
        <is>
          <t>VÄSTRA GÖTALANDS LÄN</t>
        </is>
      </c>
      <c r="E202" t="inlineStr">
        <is>
          <t>FÄRGELANDA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65518-2020</t>
        </is>
      </c>
      <c r="B203" s="1" t="n">
        <v>44172</v>
      </c>
      <c r="C203" s="1" t="n">
        <v>45273</v>
      </c>
      <c r="D203" t="inlineStr">
        <is>
          <t>VÄSTRA GÖTALANDS LÄN</t>
        </is>
      </c>
      <c r="E203" t="inlineStr">
        <is>
          <t>FÄRGELANDA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69116-2020</t>
        </is>
      </c>
      <c r="B204" s="1" t="n">
        <v>44188</v>
      </c>
      <c r="C204" s="1" t="n">
        <v>45273</v>
      </c>
      <c r="D204" t="inlineStr">
        <is>
          <t>VÄSTRA GÖTALANDS LÄN</t>
        </is>
      </c>
      <c r="E204" t="inlineStr">
        <is>
          <t>FÄRGELANDA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69114-2020</t>
        </is>
      </c>
      <c r="B205" s="1" t="n">
        <v>44188</v>
      </c>
      <c r="C205" s="1" t="n">
        <v>45273</v>
      </c>
      <c r="D205" t="inlineStr">
        <is>
          <t>VÄSTRA GÖTALANDS LÄN</t>
        </is>
      </c>
      <c r="E205" t="inlineStr">
        <is>
          <t>FÄRGELANDA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69119-2020</t>
        </is>
      </c>
      <c r="B206" s="1" t="n">
        <v>44188</v>
      </c>
      <c r="C206" s="1" t="n">
        <v>45273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460-2021</t>
        </is>
      </c>
      <c r="B207" s="1" t="n">
        <v>44202</v>
      </c>
      <c r="C207" s="1" t="n">
        <v>45273</v>
      </c>
      <c r="D207" t="inlineStr">
        <is>
          <t>VÄSTRA GÖTALANDS LÄN</t>
        </is>
      </c>
      <c r="E207" t="inlineStr">
        <is>
          <t>FÄRGELANDA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2764-2021</t>
        </is>
      </c>
      <c r="B208" s="1" t="n">
        <v>44215</v>
      </c>
      <c r="C208" s="1" t="n">
        <v>45273</v>
      </c>
      <c r="D208" t="inlineStr">
        <is>
          <t>VÄSTRA GÖTALANDS LÄN</t>
        </is>
      </c>
      <c r="E208" t="inlineStr">
        <is>
          <t>FÄRGELANDA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2750-2021</t>
        </is>
      </c>
      <c r="B209" s="1" t="n">
        <v>44215</v>
      </c>
      <c r="C209" s="1" t="n">
        <v>45273</v>
      </c>
      <c r="D209" t="inlineStr">
        <is>
          <t>VÄSTRA GÖTALANDS LÄN</t>
        </is>
      </c>
      <c r="E209" t="inlineStr">
        <is>
          <t>FÄRGELANDA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2998-2021</t>
        </is>
      </c>
      <c r="B210" s="1" t="n">
        <v>44216</v>
      </c>
      <c r="C210" s="1" t="n">
        <v>45273</v>
      </c>
      <c r="D210" t="inlineStr">
        <is>
          <t>VÄSTRA GÖTALANDS LÄN</t>
        </is>
      </c>
      <c r="E210" t="inlineStr">
        <is>
          <t>FÄRGELANDA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4095-2021</t>
        </is>
      </c>
      <c r="B211" s="1" t="n">
        <v>44222</v>
      </c>
      <c r="C211" s="1" t="n">
        <v>45273</v>
      </c>
      <c r="D211" t="inlineStr">
        <is>
          <t>VÄSTRA GÖTALANDS LÄN</t>
        </is>
      </c>
      <c r="E211" t="inlineStr">
        <is>
          <t>FÄRGELANDA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4087-2021</t>
        </is>
      </c>
      <c r="B212" s="1" t="n">
        <v>44222</v>
      </c>
      <c r="C212" s="1" t="n">
        <v>45273</v>
      </c>
      <c r="D212" t="inlineStr">
        <is>
          <t>VÄSTRA GÖTALANDS LÄN</t>
        </is>
      </c>
      <c r="E212" t="inlineStr">
        <is>
          <t>FÄRGELANDA</t>
        </is>
      </c>
      <c r="G212" t="n">
        <v>14.6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4084-2021</t>
        </is>
      </c>
      <c r="B213" s="1" t="n">
        <v>44222</v>
      </c>
      <c r="C213" s="1" t="n">
        <v>45273</v>
      </c>
      <c r="D213" t="inlineStr">
        <is>
          <t>VÄSTRA GÖTALANDS LÄN</t>
        </is>
      </c>
      <c r="E213" t="inlineStr">
        <is>
          <t>FÄRGELANDA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4552-2021</t>
        </is>
      </c>
      <c r="B214" s="1" t="n">
        <v>44224</v>
      </c>
      <c r="C214" s="1" t="n">
        <v>45273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4559-2021</t>
        </is>
      </c>
      <c r="B215" s="1" t="n">
        <v>44224</v>
      </c>
      <c r="C215" s="1" t="n">
        <v>45273</v>
      </c>
      <c r="D215" t="inlineStr">
        <is>
          <t>VÄSTRA GÖTALANDS LÄN</t>
        </is>
      </c>
      <c r="E215" t="inlineStr">
        <is>
          <t>FÄRGELANDA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4787-2021</t>
        </is>
      </c>
      <c r="B216" s="1" t="n">
        <v>44225</v>
      </c>
      <c r="C216" s="1" t="n">
        <v>45273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4705-2021</t>
        </is>
      </c>
      <c r="B217" s="1" t="n">
        <v>44225</v>
      </c>
      <c r="C217" s="1" t="n">
        <v>45273</v>
      </c>
      <c r="D217" t="inlineStr">
        <is>
          <t>VÄSTRA GÖTALANDS LÄN</t>
        </is>
      </c>
      <c r="E217" t="inlineStr">
        <is>
          <t>FÄRGELANDA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5177-2021</t>
        </is>
      </c>
      <c r="B218" s="1" t="n">
        <v>44228</v>
      </c>
      <c r="C218" s="1" t="n">
        <v>45273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5847-2021</t>
        </is>
      </c>
      <c r="B219" s="1" t="n">
        <v>44231</v>
      </c>
      <c r="C219" s="1" t="n">
        <v>45273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6313-2021</t>
        </is>
      </c>
      <c r="B220" s="1" t="n">
        <v>44235</v>
      </c>
      <c r="C220" s="1" t="n">
        <v>45273</v>
      </c>
      <c r="D220" t="inlineStr">
        <is>
          <t>VÄSTRA GÖTALANDS LÄN</t>
        </is>
      </c>
      <c r="E220" t="inlineStr">
        <is>
          <t>FÄRGELANDA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7439-2021</t>
        </is>
      </c>
      <c r="B221" s="1" t="n">
        <v>44239</v>
      </c>
      <c r="C221" s="1" t="n">
        <v>45273</v>
      </c>
      <c r="D221" t="inlineStr">
        <is>
          <t>VÄSTRA GÖTALANDS LÄN</t>
        </is>
      </c>
      <c r="E221" t="inlineStr">
        <is>
          <t>FÄRGELANDA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7433-2021</t>
        </is>
      </c>
      <c r="B222" s="1" t="n">
        <v>44239</v>
      </c>
      <c r="C222" s="1" t="n">
        <v>45273</v>
      </c>
      <c r="D222" t="inlineStr">
        <is>
          <t>VÄSTRA GÖTALANDS LÄN</t>
        </is>
      </c>
      <c r="E222" t="inlineStr">
        <is>
          <t>FÄRGELANDA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7802-2021</t>
        </is>
      </c>
      <c r="B223" s="1" t="n">
        <v>44242</v>
      </c>
      <c r="C223" s="1" t="n">
        <v>45273</v>
      </c>
      <c r="D223" t="inlineStr">
        <is>
          <t>VÄSTRA GÖTALANDS LÄN</t>
        </is>
      </c>
      <c r="E223" t="inlineStr">
        <is>
          <t>FÄRGELANDA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7810-2021</t>
        </is>
      </c>
      <c r="B224" s="1" t="n">
        <v>44242</v>
      </c>
      <c r="C224" s="1" t="n">
        <v>45273</v>
      </c>
      <c r="D224" t="inlineStr">
        <is>
          <t>VÄSTRA GÖTALANDS LÄN</t>
        </is>
      </c>
      <c r="E224" t="inlineStr">
        <is>
          <t>FÄRGELANDA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7806-2021</t>
        </is>
      </c>
      <c r="B225" s="1" t="n">
        <v>44242</v>
      </c>
      <c r="C225" s="1" t="n">
        <v>45273</v>
      </c>
      <c r="D225" t="inlineStr">
        <is>
          <t>VÄSTRA GÖTALANDS LÄN</t>
        </is>
      </c>
      <c r="E225" t="inlineStr">
        <is>
          <t>FÄRGELANDA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7819-2021</t>
        </is>
      </c>
      <c r="B226" s="1" t="n">
        <v>44242</v>
      </c>
      <c r="C226" s="1" t="n">
        <v>45273</v>
      </c>
      <c r="D226" t="inlineStr">
        <is>
          <t>VÄSTRA GÖTALANDS LÄN</t>
        </is>
      </c>
      <c r="E226" t="inlineStr">
        <is>
          <t>FÄRGELANDA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9792-2021</t>
        </is>
      </c>
      <c r="B227" s="1" t="n">
        <v>44252</v>
      </c>
      <c r="C227" s="1" t="n">
        <v>45273</v>
      </c>
      <c r="D227" t="inlineStr">
        <is>
          <t>VÄSTRA GÖTALANDS LÄN</t>
        </is>
      </c>
      <c r="E227" t="inlineStr">
        <is>
          <t>FÄRGELANDA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10263-2021</t>
        </is>
      </c>
      <c r="B228" s="1" t="n">
        <v>44256</v>
      </c>
      <c r="C228" s="1" t="n">
        <v>45273</v>
      </c>
      <c r="D228" t="inlineStr">
        <is>
          <t>VÄSTRA GÖTALANDS LÄN</t>
        </is>
      </c>
      <c r="E228" t="inlineStr">
        <is>
          <t>FÄRGELANDA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10629-2021</t>
        </is>
      </c>
      <c r="B229" s="1" t="n">
        <v>44258</v>
      </c>
      <c r="C229" s="1" t="n">
        <v>45273</v>
      </c>
      <c r="D229" t="inlineStr">
        <is>
          <t>VÄSTRA GÖTALANDS LÄN</t>
        </is>
      </c>
      <c r="E229" t="inlineStr">
        <is>
          <t>FÄRGELANDA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11370-2021</t>
        </is>
      </c>
      <c r="B230" s="1" t="n">
        <v>44263</v>
      </c>
      <c r="C230" s="1" t="n">
        <v>45273</v>
      </c>
      <c r="D230" t="inlineStr">
        <is>
          <t>VÄSTRA GÖTALANDS LÄN</t>
        </is>
      </c>
      <c r="E230" t="inlineStr">
        <is>
          <t>FÄRGELANDA</t>
        </is>
      </c>
      <c r="F230" t="inlineStr">
        <is>
          <t>Kommuner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11768-2021</t>
        </is>
      </c>
      <c r="B231" s="1" t="n">
        <v>44265</v>
      </c>
      <c r="C231" s="1" t="n">
        <v>45273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12176-2021</t>
        </is>
      </c>
      <c r="B232" s="1" t="n">
        <v>44266</v>
      </c>
      <c r="C232" s="1" t="n">
        <v>45273</v>
      </c>
      <c r="D232" t="inlineStr">
        <is>
          <t>VÄSTRA GÖTALANDS LÄN</t>
        </is>
      </c>
      <c r="E232" t="inlineStr">
        <is>
          <t>FÄRGELANDA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12466-2021</t>
        </is>
      </c>
      <c r="B233" s="1" t="n">
        <v>44267</v>
      </c>
      <c r="C233" s="1" t="n">
        <v>45273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13551-2021</t>
        </is>
      </c>
      <c r="B234" s="1" t="n">
        <v>44273</v>
      </c>
      <c r="C234" s="1" t="n">
        <v>45273</v>
      </c>
      <c r="D234" t="inlineStr">
        <is>
          <t>VÄSTRA GÖTALANDS LÄN</t>
        </is>
      </c>
      <c r="E234" t="inlineStr">
        <is>
          <t>FÄRGELANDA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13589-2021</t>
        </is>
      </c>
      <c r="B235" s="1" t="n">
        <v>44274</v>
      </c>
      <c r="C235" s="1" t="n">
        <v>45273</v>
      </c>
      <c r="D235" t="inlineStr">
        <is>
          <t>VÄSTRA GÖTALANDS LÄN</t>
        </is>
      </c>
      <c r="E235" t="inlineStr">
        <is>
          <t>FÄRGELANDA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14398-2021</t>
        </is>
      </c>
      <c r="B236" s="1" t="n">
        <v>44279</v>
      </c>
      <c r="C236" s="1" t="n">
        <v>45273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14968-2021</t>
        </is>
      </c>
      <c r="B237" s="1" t="n">
        <v>44281</v>
      </c>
      <c r="C237" s="1" t="n">
        <v>45273</v>
      </c>
      <c r="D237" t="inlineStr">
        <is>
          <t>VÄSTRA GÖTALANDS LÄN</t>
        </is>
      </c>
      <c r="E237" t="inlineStr">
        <is>
          <t>FÄRGELANDA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16546-2021</t>
        </is>
      </c>
      <c r="B238" s="1" t="n">
        <v>44293</v>
      </c>
      <c r="C238" s="1" t="n">
        <v>45273</v>
      </c>
      <c r="D238" t="inlineStr">
        <is>
          <t>VÄSTRA GÖTALANDS LÄN</t>
        </is>
      </c>
      <c r="E238" t="inlineStr">
        <is>
          <t>FÄRGELANDA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17452-2021</t>
        </is>
      </c>
      <c r="B239" s="1" t="n">
        <v>44299</v>
      </c>
      <c r="C239" s="1" t="n">
        <v>45273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17805-2021</t>
        </is>
      </c>
      <c r="B240" s="1" t="n">
        <v>44300</v>
      </c>
      <c r="C240" s="1" t="n">
        <v>45273</v>
      </c>
      <c r="D240" t="inlineStr">
        <is>
          <t>VÄSTRA GÖTALANDS LÄN</t>
        </is>
      </c>
      <c r="E240" t="inlineStr">
        <is>
          <t>FÄRGELANDA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19498-2021</t>
        </is>
      </c>
      <c r="B241" s="1" t="n">
        <v>44312</v>
      </c>
      <c r="C241" s="1" t="n">
        <v>45273</v>
      </c>
      <c r="D241" t="inlineStr">
        <is>
          <t>VÄSTRA GÖTALANDS LÄN</t>
        </is>
      </c>
      <c r="E241" t="inlineStr">
        <is>
          <t>FÄRGELANDA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20036-2021</t>
        </is>
      </c>
      <c r="B242" s="1" t="n">
        <v>44314</v>
      </c>
      <c r="C242" s="1" t="n">
        <v>45273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22717-2021</t>
        </is>
      </c>
      <c r="B243" s="1" t="n">
        <v>44327</v>
      </c>
      <c r="C243" s="1" t="n">
        <v>45273</v>
      </c>
      <c r="D243" t="inlineStr">
        <is>
          <t>VÄSTRA GÖTALANDS LÄN</t>
        </is>
      </c>
      <c r="E243" t="inlineStr">
        <is>
          <t>FÄRGELANDA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23117-2021</t>
        </is>
      </c>
      <c r="B244" s="1" t="n">
        <v>44330</v>
      </c>
      <c r="C244" s="1" t="n">
        <v>45273</v>
      </c>
      <c r="D244" t="inlineStr">
        <is>
          <t>VÄSTRA GÖTALANDS LÄN</t>
        </is>
      </c>
      <c r="E244" t="inlineStr">
        <is>
          <t>FÄRGELANDA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24528-2021</t>
        </is>
      </c>
      <c r="B245" s="1" t="n">
        <v>44338</v>
      </c>
      <c r="C245" s="1" t="n">
        <v>45273</v>
      </c>
      <c r="D245" t="inlineStr">
        <is>
          <t>VÄSTRA GÖTALANDS LÄN</t>
        </is>
      </c>
      <c r="E245" t="inlineStr">
        <is>
          <t>FÄRGELANDA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24936-2021</t>
        </is>
      </c>
      <c r="B246" s="1" t="n">
        <v>44341</v>
      </c>
      <c r="C246" s="1" t="n">
        <v>45273</v>
      </c>
      <c r="D246" t="inlineStr">
        <is>
          <t>VÄSTRA GÖTALANDS LÄN</t>
        </is>
      </c>
      <c r="E246" t="inlineStr">
        <is>
          <t>FÄRGELANDA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28649-2021</t>
        </is>
      </c>
      <c r="B247" s="1" t="n">
        <v>44357</v>
      </c>
      <c r="C247" s="1" t="n">
        <v>45273</v>
      </c>
      <c r="D247" t="inlineStr">
        <is>
          <t>VÄSTRA GÖTALANDS LÄN</t>
        </is>
      </c>
      <c r="E247" t="inlineStr">
        <is>
          <t>FÄRGELANDA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29770-2021</t>
        </is>
      </c>
      <c r="B248" s="1" t="n">
        <v>44362</v>
      </c>
      <c r="C248" s="1" t="n">
        <v>45273</v>
      </c>
      <c r="D248" t="inlineStr">
        <is>
          <t>VÄSTRA GÖTALANDS LÄN</t>
        </is>
      </c>
      <c r="E248" t="inlineStr">
        <is>
          <t>FÄRGELANDA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30889-2021</t>
        </is>
      </c>
      <c r="B249" s="1" t="n">
        <v>44365</v>
      </c>
      <c r="C249" s="1" t="n">
        <v>45273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35204-2021</t>
        </is>
      </c>
      <c r="B250" s="1" t="n">
        <v>44383</v>
      </c>
      <c r="C250" s="1" t="n">
        <v>45273</v>
      </c>
      <c r="D250" t="inlineStr">
        <is>
          <t>VÄSTRA GÖTALANDS LÄN</t>
        </is>
      </c>
      <c r="E250" t="inlineStr">
        <is>
          <t>FÄRGELANDA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35447-2021</t>
        </is>
      </c>
      <c r="B251" s="1" t="n">
        <v>44385</v>
      </c>
      <c r="C251" s="1" t="n">
        <v>45273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35539-2021</t>
        </is>
      </c>
      <c r="B252" s="1" t="n">
        <v>44385</v>
      </c>
      <c r="C252" s="1" t="n">
        <v>45273</v>
      </c>
      <c r="D252" t="inlineStr">
        <is>
          <t>VÄSTRA GÖTALANDS LÄN</t>
        </is>
      </c>
      <c r="E252" t="inlineStr">
        <is>
          <t>FÄRGELANDA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35761-2021</t>
        </is>
      </c>
      <c r="B253" s="1" t="n">
        <v>44386</v>
      </c>
      <c r="C253" s="1" t="n">
        <v>45273</v>
      </c>
      <c r="D253" t="inlineStr">
        <is>
          <t>VÄSTRA GÖTALANDS LÄN</t>
        </is>
      </c>
      <c r="E253" t="inlineStr">
        <is>
          <t>FÄRGELANDA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35897-2021</t>
        </is>
      </c>
      <c r="B254" s="1" t="n">
        <v>44387</v>
      </c>
      <c r="C254" s="1" t="n">
        <v>45273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40319-2021</t>
        </is>
      </c>
      <c r="B255" s="1" t="n">
        <v>44419</v>
      </c>
      <c r="C255" s="1" t="n">
        <v>45273</v>
      </c>
      <c r="D255" t="inlineStr">
        <is>
          <t>VÄSTRA GÖTALANDS LÄN</t>
        </is>
      </c>
      <c r="E255" t="inlineStr">
        <is>
          <t>FÄRGELANDA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45268-2021</t>
        </is>
      </c>
      <c r="B256" s="1" t="n">
        <v>44439</v>
      </c>
      <c r="C256" s="1" t="n">
        <v>45273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46040-2021</t>
        </is>
      </c>
      <c r="B257" s="1" t="n">
        <v>44441</v>
      </c>
      <c r="C257" s="1" t="n">
        <v>45273</v>
      </c>
      <c r="D257" t="inlineStr">
        <is>
          <t>VÄSTRA GÖTALANDS LÄN</t>
        </is>
      </c>
      <c r="E257" t="inlineStr">
        <is>
          <t>FÄRGELANDA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46041-2021</t>
        </is>
      </c>
      <c r="B258" s="1" t="n">
        <v>44442</v>
      </c>
      <c r="C258" s="1" t="n">
        <v>45273</v>
      </c>
      <c r="D258" t="inlineStr">
        <is>
          <t>VÄSTRA GÖTALANDS LÄN</t>
        </is>
      </c>
      <c r="E258" t="inlineStr">
        <is>
          <t>FÄRGELANDA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46657-2021</t>
        </is>
      </c>
      <c r="B259" s="1" t="n">
        <v>44445</v>
      </c>
      <c r="C259" s="1" t="n">
        <v>45273</v>
      </c>
      <c r="D259" t="inlineStr">
        <is>
          <t>VÄSTRA GÖTALANDS LÄN</t>
        </is>
      </c>
      <c r="E259" t="inlineStr">
        <is>
          <t>FÄRGELANDA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46851-2021</t>
        </is>
      </c>
      <c r="B260" s="1" t="n">
        <v>44446</v>
      </c>
      <c r="C260" s="1" t="n">
        <v>45273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47179-2021</t>
        </is>
      </c>
      <c r="B261" s="1" t="n">
        <v>44446</v>
      </c>
      <c r="C261" s="1" t="n">
        <v>45273</v>
      </c>
      <c r="D261" t="inlineStr">
        <is>
          <t>VÄSTRA GÖTALANDS LÄN</t>
        </is>
      </c>
      <c r="E261" t="inlineStr">
        <is>
          <t>FÄRGELANDA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48039-2021</t>
        </is>
      </c>
      <c r="B262" s="1" t="n">
        <v>44449</v>
      </c>
      <c r="C262" s="1" t="n">
        <v>45273</v>
      </c>
      <c r="D262" t="inlineStr">
        <is>
          <t>VÄSTRA GÖTALANDS LÄN</t>
        </is>
      </c>
      <c r="E262" t="inlineStr">
        <is>
          <t>FÄRGELANDA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48592-2021</t>
        </is>
      </c>
      <c r="B263" s="1" t="n">
        <v>44452</v>
      </c>
      <c r="C263" s="1" t="n">
        <v>45273</v>
      </c>
      <c r="D263" t="inlineStr">
        <is>
          <t>VÄSTRA GÖTALANDS LÄN</t>
        </is>
      </c>
      <c r="E263" t="inlineStr">
        <is>
          <t>FÄRGELANDA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48948-2021</t>
        </is>
      </c>
      <c r="B264" s="1" t="n">
        <v>44453</v>
      </c>
      <c r="C264" s="1" t="n">
        <v>45273</v>
      </c>
      <c r="D264" t="inlineStr">
        <is>
          <t>VÄSTRA GÖTALANDS LÄN</t>
        </is>
      </c>
      <c r="E264" t="inlineStr">
        <is>
          <t>FÄRGELANDA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50454-2021</t>
        </is>
      </c>
      <c r="B265" s="1" t="n">
        <v>44459</v>
      </c>
      <c r="C265" s="1" t="n">
        <v>45273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52599-2021</t>
        </is>
      </c>
      <c r="B266" s="1" t="n">
        <v>44465</v>
      </c>
      <c r="C266" s="1" t="n">
        <v>45273</v>
      </c>
      <c r="D266" t="inlineStr">
        <is>
          <t>VÄSTRA GÖTALANDS LÄN</t>
        </is>
      </c>
      <c r="E266" t="inlineStr">
        <is>
          <t>FÄRGELANDA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53906-2021</t>
        </is>
      </c>
      <c r="B267" s="1" t="n">
        <v>44469</v>
      </c>
      <c r="C267" s="1" t="n">
        <v>45273</v>
      </c>
      <c r="D267" t="inlineStr">
        <is>
          <t>VÄSTRA GÖTALANDS LÄN</t>
        </is>
      </c>
      <c r="E267" t="inlineStr">
        <is>
          <t>FÄRGELANDA</t>
        </is>
      </c>
      <c r="G267" t="n">
        <v>20.8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54038-2021</t>
        </is>
      </c>
      <c r="B268" s="1" t="n">
        <v>44470</v>
      </c>
      <c r="C268" s="1" t="n">
        <v>45273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54231-2021</t>
        </is>
      </c>
      <c r="B269" s="1" t="n">
        <v>44470</v>
      </c>
      <c r="C269" s="1" t="n">
        <v>45273</v>
      </c>
      <c r="D269" t="inlineStr">
        <is>
          <t>VÄSTRA GÖTALANDS LÄN</t>
        </is>
      </c>
      <c r="E269" t="inlineStr">
        <is>
          <t>FÄRGELANDA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55278-2021</t>
        </is>
      </c>
      <c r="B270" s="1" t="n">
        <v>44475</v>
      </c>
      <c r="C270" s="1" t="n">
        <v>45273</v>
      </c>
      <c r="D270" t="inlineStr">
        <is>
          <t>VÄSTRA GÖTALANDS LÄN</t>
        </is>
      </c>
      <c r="E270" t="inlineStr">
        <is>
          <t>FÄRGELANDA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55662-2021</t>
        </is>
      </c>
      <c r="B271" s="1" t="n">
        <v>44476</v>
      </c>
      <c r="C271" s="1" t="n">
        <v>45273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57615-2021</t>
        </is>
      </c>
      <c r="B272" s="1" t="n">
        <v>44484</v>
      </c>
      <c r="C272" s="1" t="n">
        <v>45273</v>
      </c>
      <c r="D272" t="inlineStr">
        <is>
          <t>VÄSTRA GÖTALANDS LÄN</t>
        </is>
      </c>
      <c r="E272" t="inlineStr">
        <is>
          <t>FÄRGELANDA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58317-2021</t>
        </is>
      </c>
      <c r="B273" s="1" t="n">
        <v>44488</v>
      </c>
      <c r="C273" s="1" t="n">
        <v>45273</v>
      </c>
      <c r="D273" t="inlineStr">
        <is>
          <t>VÄSTRA GÖTALANDS LÄN</t>
        </is>
      </c>
      <c r="E273" t="inlineStr">
        <is>
          <t>FÄRGELANDA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58330-2021</t>
        </is>
      </c>
      <c r="B274" s="1" t="n">
        <v>44488</v>
      </c>
      <c r="C274" s="1" t="n">
        <v>45273</v>
      </c>
      <c r="D274" t="inlineStr">
        <is>
          <t>VÄSTRA GÖTALANDS LÄN</t>
        </is>
      </c>
      <c r="E274" t="inlineStr">
        <is>
          <t>FÄRGELANDA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58344-2021</t>
        </is>
      </c>
      <c r="B275" s="1" t="n">
        <v>44488</v>
      </c>
      <c r="C275" s="1" t="n">
        <v>45273</v>
      </c>
      <c r="D275" t="inlineStr">
        <is>
          <t>VÄSTRA GÖTALANDS LÄN</t>
        </is>
      </c>
      <c r="E275" t="inlineStr">
        <is>
          <t>FÄRGELANDA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59021-2021</t>
        </is>
      </c>
      <c r="B276" s="1" t="n">
        <v>44490</v>
      </c>
      <c r="C276" s="1" t="n">
        <v>45273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59044-2021</t>
        </is>
      </c>
      <c r="B277" s="1" t="n">
        <v>44490</v>
      </c>
      <c r="C277" s="1" t="n">
        <v>45273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59106-2021</t>
        </is>
      </c>
      <c r="B278" s="1" t="n">
        <v>44490</v>
      </c>
      <c r="C278" s="1" t="n">
        <v>45273</v>
      </c>
      <c r="D278" t="inlineStr">
        <is>
          <t>VÄSTRA GÖTALANDS LÄN</t>
        </is>
      </c>
      <c r="E278" t="inlineStr">
        <is>
          <t>FÄRGELANDA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59062-2021</t>
        </is>
      </c>
      <c r="B279" s="1" t="n">
        <v>44490</v>
      </c>
      <c r="C279" s="1" t="n">
        <v>45273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59053-2021</t>
        </is>
      </c>
      <c r="B280" s="1" t="n">
        <v>44490</v>
      </c>
      <c r="C280" s="1" t="n">
        <v>45273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60444-2021</t>
        </is>
      </c>
      <c r="B281" s="1" t="n">
        <v>44496</v>
      </c>
      <c r="C281" s="1" t="n">
        <v>45273</v>
      </c>
      <c r="D281" t="inlineStr">
        <is>
          <t>VÄSTRA GÖTALANDS LÄN</t>
        </is>
      </c>
      <c r="E281" t="inlineStr">
        <is>
          <t>FÄRGELANDA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61698-2021</t>
        </is>
      </c>
      <c r="B282" s="1" t="n">
        <v>44501</v>
      </c>
      <c r="C282" s="1" t="n">
        <v>45273</v>
      </c>
      <c r="D282" t="inlineStr">
        <is>
          <t>VÄSTRA GÖTALANDS LÄN</t>
        </is>
      </c>
      <c r="E282" t="inlineStr">
        <is>
          <t>FÄRGELANDA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62751-2021</t>
        </is>
      </c>
      <c r="B283" s="1" t="n">
        <v>44504</v>
      </c>
      <c r="C283" s="1" t="n">
        <v>45273</v>
      </c>
      <c r="D283" t="inlineStr">
        <is>
          <t>VÄSTRA GÖTALANDS LÄN</t>
        </is>
      </c>
      <c r="E283" t="inlineStr">
        <is>
          <t>FÄRGELANDA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62876-2021</t>
        </is>
      </c>
      <c r="B284" s="1" t="n">
        <v>44504</v>
      </c>
      <c r="C284" s="1" t="n">
        <v>45273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64357-2021</t>
        </is>
      </c>
      <c r="B285" s="1" t="n">
        <v>44511</v>
      </c>
      <c r="C285" s="1" t="n">
        <v>45273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64598-2021</t>
        </is>
      </c>
      <c r="B286" s="1" t="n">
        <v>44511</v>
      </c>
      <c r="C286" s="1" t="n">
        <v>45273</v>
      </c>
      <c r="D286" t="inlineStr">
        <is>
          <t>VÄSTRA GÖTALANDS LÄN</t>
        </is>
      </c>
      <c r="E286" t="inlineStr">
        <is>
          <t>FÄRGELANDA</t>
        </is>
      </c>
      <c r="G286" t="n">
        <v>15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65481-2021</t>
        </is>
      </c>
      <c r="B287" s="1" t="n">
        <v>44516</v>
      </c>
      <c r="C287" s="1" t="n">
        <v>45273</v>
      </c>
      <c r="D287" t="inlineStr">
        <is>
          <t>VÄSTRA GÖTALANDS LÄN</t>
        </is>
      </c>
      <c r="E287" t="inlineStr">
        <is>
          <t>FÄRGELANDA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66405-2021</t>
        </is>
      </c>
      <c r="B288" s="1" t="n">
        <v>44518</v>
      </c>
      <c r="C288" s="1" t="n">
        <v>45273</v>
      </c>
      <c r="D288" t="inlineStr">
        <is>
          <t>VÄSTRA GÖTALANDS LÄN</t>
        </is>
      </c>
      <c r="E288" t="inlineStr">
        <is>
          <t>FÄRGELANDA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66955-2021</t>
        </is>
      </c>
      <c r="B289" s="1" t="n">
        <v>44522</v>
      </c>
      <c r="C289" s="1" t="n">
        <v>45273</v>
      </c>
      <c r="D289" t="inlineStr">
        <is>
          <t>VÄSTRA GÖTALANDS LÄN</t>
        </is>
      </c>
      <c r="E289" t="inlineStr">
        <is>
          <t>FÄRGELANDA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66953-2021</t>
        </is>
      </c>
      <c r="B290" s="1" t="n">
        <v>44522</v>
      </c>
      <c r="C290" s="1" t="n">
        <v>45273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67959-2021</t>
        </is>
      </c>
      <c r="B291" s="1" t="n">
        <v>44525</v>
      </c>
      <c r="C291" s="1" t="n">
        <v>45273</v>
      </c>
      <c r="D291" t="inlineStr">
        <is>
          <t>VÄSTRA GÖTALANDS LÄN</t>
        </is>
      </c>
      <c r="E291" t="inlineStr">
        <is>
          <t>FÄRGELANDA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68285-2021</t>
        </is>
      </c>
      <c r="B292" s="1" t="n">
        <v>44526</v>
      </c>
      <c r="C292" s="1" t="n">
        <v>45273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68284-2021</t>
        </is>
      </c>
      <c r="B293" s="1" t="n">
        <v>44526</v>
      </c>
      <c r="C293" s="1" t="n">
        <v>45273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68633-2021</t>
        </is>
      </c>
      <c r="B294" s="1" t="n">
        <v>44529</v>
      </c>
      <c r="C294" s="1" t="n">
        <v>45273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68522-2021</t>
        </is>
      </c>
      <c r="B295" s="1" t="n">
        <v>44529</v>
      </c>
      <c r="C295" s="1" t="n">
        <v>45273</v>
      </c>
      <c r="D295" t="inlineStr">
        <is>
          <t>VÄSTRA GÖTALANDS LÄN</t>
        </is>
      </c>
      <c r="E295" t="inlineStr">
        <is>
          <t>FÄRGELANDA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70318-2021</t>
        </is>
      </c>
      <c r="B296" s="1" t="n">
        <v>44536</v>
      </c>
      <c r="C296" s="1" t="n">
        <v>45273</v>
      </c>
      <c r="D296" t="inlineStr">
        <is>
          <t>VÄSTRA GÖTALANDS LÄN</t>
        </is>
      </c>
      <c r="E296" t="inlineStr">
        <is>
          <t>FÄRGELANDA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71963-2021</t>
        </is>
      </c>
      <c r="B297" s="1" t="n">
        <v>44544</v>
      </c>
      <c r="C297" s="1" t="n">
        <v>45273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72612-2021</t>
        </is>
      </c>
      <c r="B298" s="1" t="n">
        <v>44546</v>
      </c>
      <c r="C298" s="1" t="n">
        <v>45273</v>
      </c>
      <c r="D298" t="inlineStr">
        <is>
          <t>VÄSTRA GÖTALANDS LÄN</t>
        </is>
      </c>
      <c r="E298" t="inlineStr">
        <is>
          <t>FÄRGELANDA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72655-2021</t>
        </is>
      </c>
      <c r="B299" s="1" t="n">
        <v>44546</v>
      </c>
      <c r="C299" s="1" t="n">
        <v>45273</v>
      </c>
      <c r="D299" t="inlineStr">
        <is>
          <t>VÄSTRA GÖTALANDS LÄN</t>
        </is>
      </c>
      <c r="E299" t="inlineStr">
        <is>
          <t>FÄRGELANDA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73256-2021</t>
        </is>
      </c>
      <c r="B300" s="1" t="n">
        <v>44550</v>
      </c>
      <c r="C300" s="1" t="n">
        <v>45273</v>
      </c>
      <c r="D300" t="inlineStr">
        <is>
          <t>VÄSTRA GÖTALANDS LÄN</t>
        </is>
      </c>
      <c r="E300" t="inlineStr">
        <is>
          <t>FÄRGELANDA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74066-2021</t>
        </is>
      </c>
      <c r="B301" s="1" t="n">
        <v>44557</v>
      </c>
      <c r="C301" s="1" t="n">
        <v>45273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478-2022</t>
        </is>
      </c>
      <c r="B302" s="1" t="n">
        <v>44566</v>
      </c>
      <c r="C302" s="1" t="n">
        <v>45273</v>
      </c>
      <c r="D302" t="inlineStr">
        <is>
          <t>VÄSTRA GÖTALANDS LÄN</t>
        </is>
      </c>
      <c r="E302" t="inlineStr">
        <is>
          <t>FÄRGELANDA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1030-2022</t>
        </is>
      </c>
      <c r="B303" s="1" t="n">
        <v>44571</v>
      </c>
      <c r="C303" s="1" t="n">
        <v>45273</v>
      </c>
      <c r="D303" t="inlineStr">
        <is>
          <t>VÄSTRA GÖTALANDS LÄN</t>
        </is>
      </c>
      <c r="E303" t="inlineStr">
        <is>
          <t>FÄRGELANDA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1233-2022</t>
        </is>
      </c>
      <c r="B304" s="1" t="n">
        <v>44572</v>
      </c>
      <c r="C304" s="1" t="n">
        <v>45273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1692-2022</t>
        </is>
      </c>
      <c r="B305" s="1" t="n">
        <v>44574</v>
      </c>
      <c r="C305" s="1" t="n">
        <v>45273</v>
      </c>
      <c r="D305" t="inlineStr">
        <is>
          <t>VÄSTRA GÖTALANDS LÄN</t>
        </is>
      </c>
      <c r="E305" t="inlineStr">
        <is>
          <t>FÄRGELANDA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2117-2022</t>
        </is>
      </c>
      <c r="B306" s="1" t="n">
        <v>44578</v>
      </c>
      <c r="C306" s="1" t="n">
        <v>45273</v>
      </c>
      <c r="D306" t="inlineStr">
        <is>
          <t>VÄSTRA GÖTALANDS LÄN</t>
        </is>
      </c>
      <c r="E306" t="inlineStr">
        <is>
          <t>FÄRGELANDA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2301-2022</t>
        </is>
      </c>
      <c r="B307" s="1" t="n">
        <v>44578</v>
      </c>
      <c r="C307" s="1" t="n">
        <v>45273</v>
      </c>
      <c r="D307" t="inlineStr">
        <is>
          <t>VÄSTRA GÖTALANDS LÄN</t>
        </is>
      </c>
      <c r="E307" t="inlineStr">
        <is>
          <t>FÄRGELANDA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2299-2022</t>
        </is>
      </c>
      <c r="B308" s="1" t="n">
        <v>44578</v>
      </c>
      <c r="C308" s="1" t="n">
        <v>45273</v>
      </c>
      <c r="D308" t="inlineStr">
        <is>
          <t>VÄSTRA GÖTALANDS LÄN</t>
        </is>
      </c>
      <c r="E308" t="inlineStr">
        <is>
          <t>FÄRGELANDA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2798-2022</t>
        </is>
      </c>
      <c r="B309" s="1" t="n">
        <v>44581</v>
      </c>
      <c r="C309" s="1" t="n">
        <v>45273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4838-2022</t>
        </is>
      </c>
      <c r="B310" s="1" t="n">
        <v>44592</v>
      </c>
      <c r="C310" s="1" t="n">
        <v>45273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4892-2022</t>
        </is>
      </c>
      <c r="B311" s="1" t="n">
        <v>44593</v>
      </c>
      <c r="C311" s="1" t="n">
        <v>45273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5097-2022</t>
        </is>
      </c>
      <c r="B312" s="1" t="n">
        <v>44593</v>
      </c>
      <c r="C312" s="1" t="n">
        <v>45273</v>
      </c>
      <c r="D312" t="inlineStr">
        <is>
          <t>VÄSTRA GÖTALANDS LÄN</t>
        </is>
      </c>
      <c r="E312" t="inlineStr">
        <is>
          <t>FÄRGELANDA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5436-2022</t>
        </is>
      </c>
      <c r="B313" s="1" t="n">
        <v>44595</v>
      </c>
      <c r="C313" s="1" t="n">
        <v>45273</v>
      </c>
      <c r="D313" t="inlineStr">
        <is>
          <t>VÄSTRA GÖTALANDS LÄN</t>
        </is>
      </c>
      <c r="E313" t="inlineStr">
        <is>
          <t>FÄRGELANDA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5437-2022</t>
        </is>
      </c>
      <c r="B314" s="1" t="n">
        <v>44595</v>
      </c>
      <c r="C314" s="1" t="n">
        <v>45273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5453-2022</t>
        </is>
      </c>
      <c r="B315" s="1" t="n">
        <v>44595</v>
      </c>
      <c r="C315" s="1" t="n">
        <v>45273</v>
      </c>
      <c r="D315" t="inlineStr">
        <is>
          <t>VÄSTRA GÖTALANDS LÄN</t>
        </is>
      </c>
      <c r="E315" t="inlineStr">
        <is>
          <t>FÄRGELANDA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5455-2022</t>
        </is>
      </c>
      <c r="B316" s="1" t="n">
        <v>44595</v>
      </c>
      <c r="C316" s="1" t="n">
        <v>45273</v>
      </c>
      <c r="D316" t="inlineStr">
        <is>
          <t>VÄSTRA GÖTALANDS LÄN</t>
        </is>
      </c>
      <c r="E316" t="inlineStr">
        <is>
          <t>FÄRGELANDA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6180-2022</t>
        </is>
      </c>
      <c r="B317" s="1" t="n">
        <v>44600</v>
      </c>
      <c r="C317" s="1" t="n">
        <v>45273</v>
      </c>
      <c r="D317" t="inlineStr">
        <is>
          <t>VÄSTRA GÖTALANDS LÄN</t>
        </is>
      </c>
      <c r="E317" t="inlineStr">
        <is>
          <t>FÄRGELANDA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6657-2022</t>
        </is>
      </c>
      <c r="B318" s="1" t="n">
        <v>44602</v>
      </c>
      <c r="C318" s="1" t="n">
        <v>45273</v>
      </c>
      <c r="D318" t="inlineStr">
        <is>
          <t>VÄSTRA GÖTALANDS LÄN</t>
        </is>
      </c>
      <c r="E318" t="inlineStr">
        <is>
          <t>FÄRGELANDA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7516-2022</t>
        </is>
      </c>
      <c r="B319" s="1" t="n">
        <v>44607</v>
      </c>
      <c r="C319" s="1" t="n">
        <v>45273</v>
      </c>
      <c r="D319" t="inlineStr">
        <is>
          <t>VÄSTRA GÖTALANDS LÄN</t>
        </is>
      </c>
      <c r="E319" t="inlineStr">
        <is>
          <t>FÄRGELANDA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7520-2022</t>
        </is>
      </c>
      <c r="B320" s="1" t="n">
        <v>44607</v>
      </c>
      <c r="C320" s="1" t="n">
        <v>45273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8074-2022</t>
        </is>
      </c>
      <c r="B321" s="1" t="n">
        <v>44609</v>
      </c>
      <c r="C321" s="1" t="n">
        <v>45273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Övriga Aktiebolag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8164-2022</t>
        </is>
      </c>
      <c r="B322" s="1" t="n">
        <v>44609</v>
      </c>
      <c r="C322" s="1" t="n">
        <v>45273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Övriga Aktiebolag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10381-2022</t>
        </is>
      </c>
      <c r="B323" s="1" t="n">
        <v>44623</v>
      </c>
      <c r="C323" s="1" t="n">
        <v>45273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12059-2022</t>
        </is>
      </c>
      <c r="B324" s="1" t="n">
        <v>44636</v>
      </c>
      <c r="C324" s="1" t="n">
        <v>45273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12460-2022</t>
        </is>
      </c>
      <c r="B325" s="1" t="n">
        <v>44638</v>
      </c>
      <c r="C325" s="1" t="n">
        <v>45273</v>
      </c>
      <c r="D325" t="inlineStr">
        <is>
          <t>VÄSTRA GÖTALANDS LÄN</t>
        </is>
      </c>
      <c r="E325" t="inlineStr">
        <is>
          <t>FÄRGELANDA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13351-2022</t>
        </is>
      </c>
      <c r="B326" s="1" t="n">
        <v>44645</v>
      </c>
      <c r="C326" s="1" t="n">
        <v>45273</v>
      </c>
      <c r="D326" t="inlineStr">
        <is>
          <t>VÄSTRA GÖTALANDS LÄN</t>
        </is>
      </c>
      <c r="E326" t="inlineStr">
        <is>
          <t>FÄRGELANDA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14747-2022</t>
        </is>
      </c>
      <c r="B327" s="1" t="n">
        <v>44656</v>
      </c>
      <c r="C327" s="1" t="n">
        <v>45273</v>
      </c>
      <c r="D327" t="inlineStr">
        <is>
          <t>VÄSTRA GÖTALANDS LÄN</t>
        </is>
      </c>
      <c r="E327" t="inlineStr">
        <is>
          <t>FÄRGELANDA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15175-2022</t>
        </is>
      </c>
      <c r="B328" s="1" t="n">
        <v>44658</v>
      </c>
      <c r="C328" s="1" t="n">
        <v>45273</v>
      </c>
      <c r="D328" t="inlineStr">
        <is>
          <t>VÄSTRA GÖTALANDS LÄN</t>
        </is>
      </c>
      <c r="E328" t="inlineStr">
        <is>
          <t>FÄRGELANDA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15408-2022</t>
        </is>
      </c>
      <c r="B329" s="1" t="n">
        <v>44659</v>
      </c>
      <c r="C329" s="1" t="n">
        <v>45273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16267-2022</t>
        </is>
      </c>
      <c r="B330" s="1" t="n">
        <v>44670</v>
      </c>
      <c r="C330" s="1" t="n">
        <v>45273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16285-2022</t>
        </is>
      </c>
      <c r="B331" s="1" t="n">
        <v>44670</v>
      </c>
      <c r="C331" s="1" t="n">
        <v>45273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16544-2022</t>
        </is>
      </c>
      <c r="B332" s="1" t="n">
        <v>44672</v>
      </c>
      <c r="C332" s="1" t="n">
        <v>45273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17616-2022</t>
        </is>
      </c>
      <c r="B333" s="1" t="n">
        <v>44680</v>
      </c>
      <c r="C333" s="1" t="n">
        <v>45273</v>
      </c>
      <c r="D333" t="inlineStr">
        <is>
          <t>VÄSTRA GÖTALANDS LÄN</t>
        </is>
      </c>
      <c r="E333" t="inlineStr">
        <is>
          <t>FÄRGELANDA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18086-2022</t>
        </is>
      </c>
      <c r="B334" s="1" t="n">
        <v>44684</v>
      </c>
      <c r="C334" s="1" t="n">
        <v>45273</v>
      </c>
      <c r="D334" t="inlineStr">
        <is>
          <t>VÄSTRA GÖTALANDS LÄN</t>
        </is>
      </c>
      <c r="E334" t="inlineStr">
        <is>
          <t>FÄRGELANDA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18459-2022</t>
        </is>
      </c>
      <c r="B335" s="1" t="n">
        <v>44686</v>
      </c>
      <c r="C335" s="1" t="n">
        <v>45273</v>
      </c>
      <c r="D335" t="inlineStr">
        <is>
          <t>VÄSTRA GÖTALANDS LÄN</t>
        </is>
      </c>
      <c r="E335" t="inlineStr">
        <is>
          <t>FÄRGELANDA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18538-2022</t>
        </is>
      </c>
      <c r="B336" s="1" t="n">
        <v>44686</v>
      </c>
      <c r="C336" s="1" t="n">
        <v>45273</v>
      </c>
      <c r="D336" t="inlineStr">
        <is>
          <t>VÄSTRA GÖTALANDS LÄN</t>
        </is>
      </c>
      <c r="E336" t="inlineStr">
        <is>
          <t>FÄRGELANDA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21547-2022</t>
        </is>
      </c>
      <c r="B337" s="1" t="n">
        <v>44706</v>
      </c>
      <c r="C337" s="1" t="n">
        <v>45273</v>
      </c>
      <c r="D337" t="inlineStr">
        <is>
          <t>VÄSTRA GÖTALANDS LÄN</t>
        </is>
      </c>
      <c r="E337" t="inlineStr">
        <is>
          <t>FÄRGELANDA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21588-2022</t>
        </is>
      </c>
      <c r="B338" s="1" t="n">
        <v>44706</v>
      </c>
      <c r="C338" s="1" t="n">
        <v>45273</v>
      </c>
      <c r="D338" t="inlineStr">
        <is>
          <t>VÄSTRA GÖTALANDS LÄN</t>
        </is>
      </c>
      <c r="E338" t="inlineStr">
        <is>
          <t>FÄRGELANDA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22059-2022</t>
        </is>
      </c>
      <c r="B339" s="1" t="n">
        <v>44711</v>
      </c>
      <c r="C339" s="1" t="n">
        <v>45273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28803-2022</t>
        </is>
      </c>
      <c r="B340" s="1" t="n">
        <v>44749</v>
      </c>
      <c r="C340" s="1" t="n">
        <v>45273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29188-2022</t>
        </is>
      </c>
      <c r="B341" s="1" t="n">
        <v>44750</v>
      </c>
      <c r="C341" s="1" t="n">
        <v>45273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30993-2022</t>
        </is>
      </c>
      <c r="B342" s="1" t="n">
        <v>44768</v>
      </c>
      <c r="C342" s="1" t="n">
        <v>45273</v>
      </c>
      <c r="D342" t="inlineStr">
        <is>
          <t>VÄSTRA GÖTALANDS LÄN</t>
        </is>
      </c>
      <c r="E342" t="inlineStr">
        <is>
          <t>FÄRGELANDA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31881-2022</t>
        </is>
      </c>
      <c r="B343" s="1" t="n">
        <v>44777</v>
      </c>
      <c r="C343" s="1" t="n">
        <v>45273</v>
      </c>
      <c r="D343" t="inlineStr">
        <is>
          <t>VÄSTRA GÖTALANDS LÄN</t>
        </is>
      </c>
      <c r="E343" t="inlineStr">
        <is>
          <t>FÄRGELANDA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31879-2022</t>
        </is>
      </c>
      <c r="B344" s="1" t="n">
        <v>44777</v>
      </c>
      <c r="C344" s="1" t="n">
        <v>45273</v>
      </c>
      <c r="D344" t="inlineStr">
        <is>
          <t>VÄSTRA GÖTALANDS LÄN</t>
        </is>
      </c>
      <c r="E344" t="inlineStr">
        <is>
          <t>FÄRGELANDA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31885-2022</t>
        </is>
      </c>
      <c r="B345" s="1" t="n">
        <v>44777</v>
      </c>
      <c r="C345" s="1" t="n">
        <v>45273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33912-2022</t>
        </is>
      </c>
      <c r="B346" s="1" t="n">
        <v>44790</v>
      </c>
      <c r="C346" s="1" t="n">
        <v>45273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34183-2022</t>
        </is>
      </c>
      <c r="B347" s="1" t="n">
        <v>44791</v>
      </c>
      <c r="C347" s="1" t="n">
        <v>45273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37778-2022</t>
        </is>
      </c>
      <c r="B348" s="1" t="n">
        <v>44810</v>
      </c>
      <c r="C348" s="1" t="n">
        <v>45273</v>
      </c>
      <c r="D348" t="inlineStr">
        <is>
          <t>VÄSTRA GÖTALANDS LÄN</t>
        </is>
      </c>
      <c r="E348" t="inlineStr">
        <is>
          <t>FÄRGELANDA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37777-2022</t>
        </is>
      </c>
      <c r="B349" s="1" t="n">
        <v>44810</v>
      </c>
      <c r="C349" s="1" t="n">
        <v>45273</v>
      </c>
      <c r="D349" t="inlineStr">
        <is>
          <t>VÄSTRA GÖTALANDS LÄN</t>
        </is>
      </c>
      <c r="E349" t="inlineStr">
        <is>
          <t>FÄRGELANDA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37898-2022</t>
        </is>
      </c>
      <c r="B350" s="1" t="n">
        <v>44811</v>
      </c>
      <c r="C350" s="1" t="n">
        <v>45273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38189-2022</t>
        </is>
      </c>
      <c r="B351" s="1" t="n">
        <v>44812</v>
      </c>
      <c r="C351" s="1" t="n">
        <v>45273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39981-2022</t>
        </is>
      </c>
      <c r="B352" s="1" t="n">
        <v>44820</v>
      </c>
      <c r="C352" s="1" t="n">
        <v>45273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40944-2022</t>
        </is>
      </c>
      <c r="B353" s="1" t="n">
        <v>44820</v>
      </c>
      <c r="C353" s="1" t="n">
        <v>45273</v>
      </c>
      <c r="D353" t="inlineStr">
        <is>
          <t>VÄSTRA GÖTALANDS LÄN</t>
        </is>
      </c>
      <c r="E353" t="inlineStr">
        <is>
          <t>FÄRGELANDA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41653-2022</t>
        </is>
      </c>
      <c r="B354" s="1" t="n">
        <v>44827</v>
      </c>
      <c r="C354" s="1" t="n">
        <v>45273</v>
      </c>
      <c r="D354" t="inlineStr">
        <is>
          <t>VÄSTRA GÖTALANDS LÄN</t>
        </is>
      </c>
      <c r="E354" t="inlineStr">
        <is>
          <t>FÄRGELANDA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43664-2022</t>
        </is>
      </c>
      <c r="B355" s="1" t="n">
        <v>44837</v>
      </c>
      <c r="C355" s="1" t="n">
        <v>45273</v>
      </c>
      <c r="D355" t="inlineStr">
        <is>
          <t>VÄSTRA GÖTALANDS LÄN</t>
        </is>
      </c>
      <c r="E355" t="inlineStr">
        <is>
          <t>FÄRGELANDA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43684-2022</t>
        </is>
      </c>
      <c r="B356" s="1" t="n">
        <v>44837</v>
      </c>
      <c r="C356" s="1" t="n">
        <v>45273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44796-2022</t>
        </is>
      </c>
      <c r="B357" s="1" t="n">
        <v>44841</v>
      </c>
      <c r="C357" s="1" t="n">
        <v>45273</v>
      </c>
      <c r="D357" t="inlineStr">
        <is>
          <t>VÄSTRA GÖTALANDS LÄN</t>
        </is>
      </c>
      <c r="E357" t="inlineStr">
        <is>
          <t>FÄRGELANDA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45833-2022</t>
        </is>
      </c>
      <c r="B358" s="1" t="n">
        <v>44846</v>
      </c>
      <c r="C358" s="1" t="n">
        <v>45273</v>
      </c>
      <c r="D358" t="inlineStr">
        <is>
          <t>VÄSTRA GÖTALANDS LÄN</t>
        </is>
      </c>
      <c r="E358" t="inlineStr">
        <is>
          <t>FÄRGELANDA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48340-2022</t>
        </is>
      </c>
      <c r="B359" s="1" t="n">
        <v>44858</v>
      </c>
      <c r="C359" s="1" t="n">
        <v>45273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48393-2022</t>
        </is>
      </c>
      <c r="B360" s="1" t="n">
        <v>44858</v>
      </c>
      <c r="C360" s="1" t="n">
        <v>45273</v>
      </c>
      <c r="D360" t="inlineStr">
        <is>
          <t>VÄSTRA GÖTALANDS LÄN</t>
        </is>
      </c>
      <c r="E360" t="inlineStr">
        <is>
          <t>FÄRGELANDA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51434-2022</t>
        </is>
      </c>
      <c r="B361" s="1" t="n">
        <v>44869</v>
      </c>
      <c r="C361" s="1" t="n">
        <v>45273</v>
      </c>
      <c r="D361" t="inlineStr">
        <is>
          <t>VÄSTRA GÖTALANDS LÄN</t>
        </is>
      </c>
      <c r="E361" t="inlineStr">
        <is>
          <t>FÄRGELANDA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51854-2022</t>
        </is>
      </c>
      <c r="B362" s="1" t="n">
        <v>44872</v>
      </c>
      <c r="C362" s="1" t="n">
        <v>45273</v>
      </c>
      <c r="D362" t="inlineStr">
        <is>
          <t>VÄSTRA GÖTALANDS LÄN</t>
        </is>
      </c>
      <c r="E362" t="inlineStr">
        <is>
          <t>FÄRGELANDA</t>
        </is>
      </c>
      <c r="G362" t="n">
        <v>14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52151-2022</t>
        </is>
      </c>
      <c r="B363" s="1" t="n">
        <v>44873</v>
      </c>
      <c r="C363" s="1" t="n">
        <v>45273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52290-2022</t>
        </is>
      </c>
      <c r="B364" s="1" t="n">
        <v>44873</v>
      </c>
      <c r="C364" s="1" t="n">
        <v>45273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53559-2022</t>
        </is>
      </c>
      <c r="B365" s="1" t="n">
        <v>44879</v>
      </c>
      <c r="C365" s="1" t="n">
        <v>45273</v>
      </c>
      <c r="D365" t="inlineStr">
        <is>
          <t>VÄSTRA GÖTALANDS LÄN</t>
        </is>
      </c>
      <c r="E365" t="inlineStr">
        <is>
          <t>FÄRGELANDA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54698-2022</t>
        </is>
      </c>
      <c r="B366" s="1" t="n">
        <v>44883</v>
      </c>
      <c r="C366" s="1" t="n">
        <v>45273</v>
      </c>
      <c r="D366" t="inlineStr">
        <is>
          <t>VÄSTRA GÖTALANDS LÄN</t>
        </is>
      </c>
      <c r="E366" t="inlineStr">
        <is>
          <t>FÄRGELANDA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56614-2022</t>
        </is>
      </c>
      <c r="B367" s="1" t="n">
        <v>44893</v>
      </c>
      <c r="C367" s="1" t="n">
        <v>45273</v>
      </c>
      <c r="D367" t="inlineStr">
        <is>
          <t>VÄSTRA GÖTALANDS LÄN</t>
        </is>
      </c>
      <c r="E367" t="inlineStr">
        <is>
          <t>FÄRGELANDA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56619-2022</t>
        </is>
      </c>
      <c r="B368" s="1" t="n">
        <v>44893</v>
      </c>
      <c r="C368" s="1" t="n">
        <v>45273</v>
      </c>
      <c r="D368" t="inlineStr">
        <is>
          <t>VÄSTRA GÖTALANDS LÄN</t>
        </is>
      </c>
      <c r="E368" t="inlineStr">
        <is>
          <t>FÄRGELANDA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56616-2022</t>
        </is>
      </c>
      <c r="B369" s="1" t="n">
        <v>44893</v>
      </c>
      <c r="C369" s="1" t="n">
        <v>45273</v>
      </c>
      <c r="D369" t="inlineStr">
        <is>
          <t>VÄSTRA GÖTALANDS LÄN</t>
        </is>
      </c>
      <c r="E369" t="inlineStr">
        <is>
          <t>FÄRGELANDA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57267-2022</t>
        </is>
      </c>
      <c r="B370" s="1" t="n">
        <v>44895</v>
      </c>
      <c r="C370" s="1" t="n">
        <v>45273</v>
      </c>
      <c r="D370" t="inlineStr">
        <is>
          <t>VÄSTRA GÖTALANDS LÄN</t>
        </is>
      </c>
      <c r="E370" t="inlineStr">
        <is>
          <t>FÄRGELANDA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57446-2022</t>
        </is>
      </c>
      <c r="B371" s="1" t="n">
        <v>44896</v>
      </c>
      <c r="C371" s="1" t="n">
        <v>45273</v>
      </c>
      <c r="D371" t="inlineStr">
        <is>
          <t>VÄSTRA GÖTALANDS LÄN</t>
        </is>
      </c>
      <c r="E371" t="inlineStr">
        <is>
          <t>FÄRGELANDA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57869-2022</t>
        </is>
      </c>
      <c r="B372" s="1" t="n">
        <v>44899</v>
      </c>
      <c r="C372" s="1" t="n">
        <v>45273</v>
      </c>
      <c r="D372" t="inlineStr">
        <is>
          <t>VÄSTRA GÖTALANDS LÄN</t>
        </is>
      </c>
      <c r="E372" t="inlineStr">
        <is>
          <t>FÄRGELANDA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57868-2022</t>
        </is>
      </c>
      <c r="B373" s="1" t="n">
        <v>44899</v>
      </c>
      <c r="C373" s="1" t="n">
        <v>45273</v>
      </c>
      <c r="D373" t="inlineStr">
        <is>
          <t>VÄSTRA GÖTALANDS LÄN</t>
        </is>
      </c>
      <c r="E373" t="inlineStr">
        <is>
          <t>FÄRGELANDA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58324-2022</t>
        </is>
      </c>
      <c r="B374" s="1" t="n">
        <v>44901</v>
      </c>
      <c r="C374" s="1" t="n">
        <v>45273</v>
      </c>
      <c r="D374" t="inlineStr">
        <is>
          <t>VÄSTRA GÖTALANDS LÄN</t>
        </is>
      </c>
      <c r="E374" t="inlineStr">
        <is>
          <t>FÄRGELANDA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59524-2022</t>
        </is>
      </c>
      <c r="B375" s="1" t="n">
        <v>44907</v>
      </c>
      <c r="C375" s="1" t="n">
        <v>45273</v>
      </c>
      <c r="D375" t="inlineStr">
        <is>
          <t>VÄSTRA GÖTALANDS LÄN</t>
        </is>
      </c>
      <c r="E375" t="inlineStr">
        <is>
          <t>FÄRGELANDA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59825-2022</t>
        </is>
      </c>
      <c r="B376" s="1" t="n">
        <v>44908</v>
      </c>
      <c r="C376" s="1" t="n">
        <v>45273</v>
      </c>
      <c r="D376" t="inlineStr">
        <is>
          <t>VÄSTRA GÖTALANDS LÄN</t>
        </is>
      </c>
      <c r="E376" t="inlineStr">
        <is>
          <t>FÄRGELANDA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60624-2022</t>
        </is>
      </c>
      <c r="B377" s="1" t="n">
        <v>44911</v>
      </c>
      <c r="C377" s="1" t="n">
        <v>45273</v>
      </c>
      <c r="D377" t="inlineStr">
        <is>
          <t>VÄSTRA GÖTALANDS LÄN</t>
        </is>
      </c>
      <c r="E377" t="inlineStr">
        <is>
          <t>FÄRGELANDA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61431-2022</t>
        </is>
      </c>
      <c r="B378" s="1" t="n">
        <v>44916</v>
      </c>
      <c r="C378" s="1" t="n">
        <v>45273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61642-2022</t>
        </is>
      </c>
      <c r="B379" s="1" t="n">
        <v>44916</v>
      </c>
      <c r="C379" s="1" t="n">
        <v>45273</v>
      </c>
      <c r="D379" t="inlineStr">
        <is>
          <t>VÄSTRA GÖTALANDS LÄN</t>
        </is>
      </c>
      <c r="E379" t="inlineStr">
        <is>
          <t>FÄRGELANDA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61914-2022</t>
        </is>
      </c>
      <c r="B380" s="1" t="n">
        <v>44917</v>
      </c>
      <c r="C380" s="1" t="n">
        <v>45273</v>
      </c>
      <c r="D380" t="inlineStr">
        <is>
          <t>VÄSTRA GÖTALANDS LÄN</t>
        </is>
      </c>
      <c r="E380" t="inlineStr">
        <is>
          <t>FÄRGELANDA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61915-2022</t>
        </is>
      </c>
      <c r="B381" s="1" t="n">
        <v>44917</v>
      </c>
      <c r="C381" s="1" t="n">
        <v>45273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62021-2022</t>
        </is>
      </c>
      <c r="B382" s="1" t="n">
        <v>44918</v>
      </c>
      <c r="C382" s="1" t="n">
        <v>45273</v>
      </c>
      <c r="D382" t="inlineStr">
        <is>
          <t>VÄSTRA GÖTALANDS LÄN</t>
        </is>
      </c>
      <c r="E382" t="inlineStr">
        <is>
          <t>FÄRGELANDA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149-2023</t>
        </is>
      </c>
      <c r="B383" s="1" t="n">
        <v>44928</v>
      </c>
      <c r="C383" s="1" t="n">
        <v>45273</v>
      </c>
      <c r="D383" t="inlineStr">
        <is>
          <t>VÄSTRA GÖTALANDS LÄN</t>
        </is>
      </c>
      <c r="E383" t="inlineStr">
        <is>
          <t>FÄRGELANDA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154-2023</t>
        </is>
      </c>
      <c r="B384" s="1" t="n">
        <v>44928</v>
      </c>
      <c r="C384" s="1" t="n">
        <v>45273</v>
      </c>
      <c r="D384" t="inlineStr">
        <is>
          <t>VÄSTRA GÖTALANDS LÄN</t>
        </is>
      </c>
      <c r="E384" t="inlineStr">
        <is>
          <t>FÄRGELANDA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148-2023</t>
        </is>
      </c>
      <c r="B385" s="1" t="n">
        <v>44928</v>
      </c>
      <c r="C385" s="1" t="n">
        <v>45273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1021-2023</t>
        </is>
      </c>
      <c r="B386" s="1" t="n">
        <v>44935</v>
      </c>
      <c r="C386" s="1" t="n">
        <v>45273</v>
      </c>
      <c r="D386" t="inlineStr">
        <is>
          <t>VÄSTRA GÖTALANDS LÄN</t>
        </is>
      </c>
      <c r="E386" t="inlineStr">
        <is>
          <t>FÄRGELANDA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1171-2023</t>
        </is>
      </c>
      <c r="B387" s="1" t="n">
        <v>44935</v>
      </c>
      <c r="C387" s="1" t="n">
        <v>45273</v>
      </c>
      <c r="D387" t="inlineStr">
        <is>
          <t>VÄSTRA GÖTALANDS LÄN</t>
        </is>
      </c>
      <c r="E387" t="inlineStr">
        <is>
          <t>FÄRGELANDA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1911-2023</t>
        </is>
      </c>
      <c r="B388" s="1" t="n">
        <v>44939</v>
      </c>
      <c r="C388" s="1" t="n">
        <v>45273</v>
      </c>
      <c r="D388" t="inlineStr">
        <is>
          <t>VÄSTRA GÖTALANDS LÄN</t>
        </is>
      </c>
      <c r="E388" t="inlineStr">
        <is>
          <t>FÄRGELANDA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1997-2023</t>
        </is>
      </c>
      <c r="B389" s="1" t="n">
        <v>44939</v>
      </c>
      <c r="C389" s="1" t="n">
        <v>45273</v>
      </c>
      <c r="D389" t="inlineStr">
        <is>
          <t>VÄSTRA GÖTALANDS LÄN</t>
        </is>
      </c>
      <c r="E389" t="inlineStr">
        <is>
          <t>FÄRGELANDA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1918-2023</t>
        </is>
      </c>
      <c r="B390" s="1" t="n">
        <v>44939</v>
      </c>
      <c r="C390" s="1" t="n">
        <v>45273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1915-2023</t>
        </is>
      </c>
      <c r="B391" s="1" t="n">
        <v>44939</v>
      </c>
      <c r="C391" s="1" t="n">
        <v>45273</v>
      </c>
      <c r="D391" t="inlineStr">
        <is>
          <t>VÄSTRA GÖTALANDS LÄN</t>
        </is>
      </c>
      <c r="E391" t="inlineStr">
        <is>
          <t>FÄRGELANDA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3168-2023</t>
        </is>
      </c>
      <c r="B392" s="1" t="n">
        <v>44946</v>
      </c>
      <c r="C392" s="1" t="n">
        <v>45273</v>
      </c>
      <c r="D392" t="inlineStr">
        <is>
          <t>VÄSTRA GÖTALANDS LÄN</t>
        </is>
      </c>
      <c r="E392" t="inlineStr">
        <is>
          <t>FÄRGELANDA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3172-2023</t>
        </is>
      </c>
      <c r="B393" s="1" t="n">
        <v>44946</v>
      </c>
      <c r="C393" s="1" t="n">
        <v>45273</v>
      </c>
      <c r="D393" t="inlineStr">
        <is>
          <t>VÄSTRA GÖTALANDS LÄN</t>
        </is>
      </c>
      <c r="E393" t="inlineStr">
        <is>
          <t>FÄRGELANDA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4715-2023</t>
        </is>
      </c>
      <c r="B394" s="1" t="n">
        <v>44957</v>
      </c>
      <c r="C394" s="1" t="n">
        <v>45273</v>
      </c>
      <c r="D394" t="inlineStr">
        <is>
          <t>VÄSTRA GÖTALANDS LÄN</t>
        </is>
      </c>
      <c r="E394" t="inlineStr">
        <is>
          <t>FÄRGELANDA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5032-2023</t>
        </is>
      </c>
      <c r="B395" s="1" t="n">
        <v>44958</v>
      </c>
      <c r="C395" s="1" t="n">
        <v>45273</v>
      </c>
      <c r="D395" t="inlineStr">
        <is>
          <t>VÄSTRA GÖTALANDS LÄN</t>
        </is>
      </c>
      <c r="E395" t="inlineStr">
        <is>
          <t>FÄRGELANDA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5246-2023</t>
        </is>
      </c>
      <c r="B396" s="1" t="n">
        <v>44959</v>
      </c>
      <c r="C396" s="1" t="n">
        <v>45273</v>
      </c>
      <c r="D396" t="inlineStr">
        <is>
          <t>VÄSTRA GÖTALANDS LÄN</t>
        </is>
      </c>
      <c r="E396" t="inlineStr">
        <is>
          <t>FÄRGELANDA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5218-2023</t>
        </is>
      </c>
      <c r="B397" s="1" t="n">
        <v>44959</v>
      </c>
      <c r="C397" s="1" t="n">
        <v>45273</v>
      </c>
      <c r="D397" t="inlineStr">
        <is>
          <t>VÄSTRA GÖTALANDS LÄN</t>
        </is>
      </c>
      <c r="E397" t="inlineStr">
        <is>
          <t>FÄRGELANDA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6585-2023</t>
        </is>
      </c>
      <c r="B398" s="1" t="n">
        <v>44966</v>
      </c>
      <c r="C398" s="1" t="n">
        <v>45273</v>
      </c>
      <c r="D398" t="inlineStr">
        <is>
          <t>VÄSTRA GÖTALANDS LÄN</t>
        </is>
      </c>
      <c r="E398" t="inlineStr">
        <is>
          <t>FÄRGELANDA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8185-2023</t>
        </is>
      </c>
      <c r="B399" s="1" t="n">
        <v>44974</v>
      </c>
      <c r="C399" s="1" t="n">
        <v>45273</v>
      </c>
      <c r="D399" t="inlineStr">
        <is>
          <t>VÄSTRA GÖTALANDS LÄN</t>
        </is>
      </c>
      <c r="E399" t="inlineStr">
        <is>
          <t>FÄRGELANDA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8257-2023</t>
        </is>
      </c>
      <c r="B400" s="1" t="n">
        <v>44974</v>
      </c>
      <c r="C400" s="1" t="n">
        <v>45273</v>
      </c>
      <c r="D400" t="inlineStr">
        <is>
          <t>VÄSTRA GÖTALANDS LÄN</t>
        </is>
      </c>
      <c r="E400" t="inlineStr">
        <is>
          <t>FÄRGELANDA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8452-2023</t>
        </is>
      </c>
      <c r="B401" s="1" t="n">
        <v>44977</v>
      </c>
      <c r="C401" s="1" t="n">
        <v>45273</v>
      </c>
      <c r="D401" t="inlineStr">
        <is>
          <t>VÄSTRA GÖTALANDS LÄN</t>
        </is>
      </c>
      <c r="E401" t="inlineStr">
        <is>
          <t>FÄRGELANDA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8450-2023</t>
        </is>
      </c>
      <c r="B402" s="1" t="n">
        <v>44977</v>
      </c>
      <c r="C402" s="1" t="n">
        <v>45273</v>
      </c>
      <c r="D402" t="inlineStr">
        <is>
          <t>VÄSTRA GÖTALANDS LÄN</t>
        </is>
      </c>
      <c r="E402" t="inlineStr">
        <is>
          <t>FÄRGELANDA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10001-2023</t>
        </is>
      </c>
      <c r="B403" s="1" t="n">
        <v>44985</v>
      </c>
      <c r="C403" s="1" t="n">
        <v>45273</v>
      </c>
      <c r="D403" t="inlineStr">
        <is>
          <t>VÄSTRA GÖTALANDS LÄN</t>
        </is>
      </c>
      <c r="E403" t="inlineStr">
        <is>
          <t>FÄRGELANDA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11278-2023</t>
        </is>
      </c>
      <c r="B404" s="1" t="n">
        <v>44992</v>
      </c>
      <c r="C404" s="1" t="n">
        <v>45273</v>
      </c>
      <c r="D404" t="inlineStr">
        <is>
          <t>VÄSTRA GÖTALANDS LÄN</t>
        </is>
      </c>
      <c r="E404" t="inlineStr">
        <is>
          <t>FÄRGELANDA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11796-2023</t>
        </is>
      </c>
      <c r="B405" s="1" t="n">
        <v>44993</v>
      </c>
      <c r="C405" s="1" t="n">
        <v>45273</v>
      </c>
      <c r="D405" t="inlineStr">
        <is>
          <t>VÄSTRA GÖTALANDS LÄN</t>
        </is>
      </c>
      <c r="E405" t="inlineStr">
        <is>
          <t>FÄRGELANDA</t>
        </is>
      </c>
      <c r="F405" t="inlineStr">
        <is>
          <t>Övriga Aktiebolag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12198-2023</t>
        </is>
      </c>
      <c r="B406" s="1" t="n">
        <v>44998</v>
      </c>
      <c r="C406" s="1" t="n">
        <v>45273</v>
      </c>
      <c r="D406" t="inlineStr">
        <is>
          <t>VÄSTRA GÖTALANDS LÄN</t>
        </is>
      </c>
      <c r="E406" t="inlineStr">
        <is>
          <t>FÄRGELANDA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14813-2023</t>
        </is>
      </c>
      <c r="B407" s="1" t="n">
        <v>45014</v>
      </c>
      <c r="C407" s="1" t="n">
        <v>45273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14820-2023</t>
        </is>
      </c>
      <c r="B408" s="1" t="n">
        <v>45014</v>
      </c>
      <c r="C408" s="1" t="n">
        <v>45273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15043-2023</t>
        </is>
      </c>
      <c r="B409" s="1" t="n">
        <v>45015</v>
      </c>
      <c r="C409" s="1" t="n">
        <v>45273</v>
      </c>
      <c r="D409" t="inlineStr">
        <is>
          <t>VÄSTRA GÖTALANDS LÄN</t>
        </is>
      </c>
      <c r="E409" t="inlineStr">
        <is>
          <t>FÄRGELANDA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16394-2023</t>
        </is>
      </c>
      <c r="B410" s="1" t="n">
        <v>45029</v>
      </c>
      <c r="C410" s="1" t="n">
        <v>45273</v>
      </c>
      <c r="D410" t="inlineStr">
        <is>
          <t>VÄSTRA GÖTALANDS LÄN</t>
        </is>
      </c>
      <c r="E410" t="inlineStr">
        <is>
          <t>FÄRGELANDA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16828-2023</t>
        </is>
      </c>
      <c r="B411" s="1" t="n">
        <v>45033</v>
      </c>
      <c r="C411" s="1" t="n">
        <v>45273</v>
      </c>
      <c r="D411" t="inlineStr">
        <is>
          <t>VÄSTRA GÖTALANDS LÄN</t>
        </is>
      </c>
      <c r="E411" t="inlineStr">
        <is>
          <t>FÄRGELANDA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16831-2023</t>
        </is>
      </c>
      <c r="B412" s="1" t="n">
        <v>45033</v>
      </c>
      <c r="C412" s="1" t="n">
        <v>45273</v>
      </c>
      <c r="D412" t="inlineStr">
        <is>
          <t>VÄSTRA GÖTALANDS LÄN</t>
        </is>
      </c>
      <c r="E412" t="inlineStr">
        <is>
          <t>FÄRGELANDA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16840-2023</t>
        </is>
      </c>
      <c r="B413" s="1" t="n">
        <v>45033</v>
      </c>
      <c r="C413" s="1" t="n">
        <v>45273</v>
      </c>
      <c r="D413" t="inlineStr">
        <is>
          <t>VÄSTRA GÖTALANDS LÄN</t>
        </is>
      </c>
      <c r="E413" t="inlineStr">
        <is>
          <t>FÄRGELANDA</t>
        </is>
      </c>
      <c r="G413" t="n">
        <v>15.8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17126-2023</t>
        </is>
      </c>
      <c r="B414" s="1" t="n">
        <v>45034</v>
      </c>
      <c r="C414" s="1" t="n">
        <v>45273</v>
      </c>
      <c r="D414" t="inlineStr">
        <is>
          <t>VÄSTRA GÖTALANDS LÄN</t>
        </is>
      </c>
      <c r="E414" t="inlineStr">
        <is>
          <t>FÄRGELANDA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17180-2023</t>
        </is>
      </c>
      <c r="B415" s="1" t="n">
        <v>45034</v>
      </c>
      <c r="C415" s="1" t="n">
        <v>45273</v>
      </c>
      <c r="D415" t="inlineStr">
        <is>
          <t>VÄSTRA GÖTALANDS LÄN</t>
        </is>
      </c>
      <c r="E415" t="inlineStr">
        <is>
          <t>FÄRGELANDA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17187-2023</t>
        </is>
      </c>
      <c r="B416" s="1" t="n">
        <v>45034</v>
      </c>
      <c r="C416" s="1" t="n">
        <v>45273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17129-2023</t>
        </is>
      </c>
      <c r="B417" s="1" t="n">
        <v>45034</v>
      </c>
      <c r="C417" s="1" t="n">
        <v>45273</v>
      </c>
      <c r="D417" t="inlineStr">
        <is>
          <t>VÄSTRA GÖTALANDS LÄN</t>
        </is>
      </c>
      <c r="E417" t="inlineStr">
        <is>
          <t>FÄRGELANDA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17586-2023</t>
        </is>
      </c>
      <c r="B418" s="1" t="n">
        <v>45034</v>
      </c>
      <c r="C418" s="1" t="n">
        <v>45273</v>
      </c>
      <c r="D418" t="inlineStr">
        <is>
          <t>VÄSTRA GÖTALANDS LÄN</t>
        </is>
      </c>
      <c r="E418" t="inlineStr">
        <is>
          <t>FÄRGELANDA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17589-2023</t>
        </is>
      </c>
      <c r="B419" s="1" t="n">
        <v>45036</v>
      </c>
      <c r="C419" s="1" t="n">
        <v>45273</v>
      </c>
      <c r="D419" t="inlineStr">
        <is>
          <t>VÄSTRA GÖTALANDS LÄN</t>
        </is>
      </c>
      <c r="E419" t="inlineStr">
        <is>
          <t>FÄRGELANDA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17610-2023</t>
        </is>
      </c>
      <c r="B420" s="1" t="n">
        <v>45036</v>
      </c>
      <c r="C420" s="1" t="n">
        <v>45273</v>
      </c>
      <c r="D420" t="inlineStr">
        <is>
          <t>VÄSTRA GÖTALANDS LÄN</t>
        </is>
      </c>
      <c r="E420" t="inlineStr">
        <is>
          <t>FÄRGELANDA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18003-2023</t>
        </is>
      </c>
      <c r="B421" s="1" t="n">
        <v>45040</v>
      </c>
      <c r="C421" s="1" t="n">
        <v>45273</v>
      </c>
      <c r="D421" t="inlineStr">
        <is>
          <t>VÄSTRA GÖTALANDS LÄN</t>
        </is>
      </c>
      <c r="E421" t="inlineStr">
        <is>
          <t>FÄRGELANDA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19332-2023</t>
        </is>
      </c>
      <c r="B422" s="1" t="n">
        <v>45049</v>
      </c>
      <c r="C422" s="1" t="n">
        <v>45273</v>
      </c>
      <c r="D422" t="inlineStr">
        <is>
          <t>VÄSTRA GÖTALANDS LÄN</t>
        </is>
      </c>
      <c r="E422" t="inlineStr">
        <is>
          <t>FÄRGELANDA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19389-2023</t>
        </is>
      </c>
      <c r="B423" s="1" t="n">
        <v>45049</v>
      </c>
      <c r="C423" s="1" t="n">
        <v>45273</v>
      </c>
      <c r="D423" t="inlineStr">
        <is>
          <t>VÄSTRA GÖTALANDS LÄN</t>
        </is>
      </c>
      <c r="E423" t="inlineStr">
        <is>
          <t>FÄRGELANDA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19391-2023</t>
        </is>
      </c>
      <c r="B424" s="1" t="n">
        <v>45049</v>
      </c>
      <c r="C424" s="1" t="n">
        <v>45273</v>
      </c>
      <c r="D424" t="inlineStr">
        <is>
          <t>VÄSTRA GÖTALANDS LÄN</t>
        </is>
      </c>
      <c r="E424" t="inlineStr">
        <is>
          <t>FÄRGELANDA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19386-2023</t>
        </is>
      </c>
      <c r="B425" s="1" t="n">
        <v>45049</v>
      </c>
      <c r="C425" s="1" t="n">
        <v>45273</v>
      </c>
      <c r="D425" t="inlineStr">
        <is>
          <t>VÄSTRA GÖTALANDS LÄN</t>
        </is>
      </c>
      <c r="E425" t="inlineStr">
        <is>
          <t>FÄRGELANDA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20294-2023</t>
        </is>
      </c>
      <c r="B426" s="1" t="n">
        <v>45056</v>
      </c>
      <c r="C426" s="1" t="n">
        <v>45273</v>
      </c>
      <c r="D426" t="inlineStr">
        <is>
          <t>VÄSTRA GÖTALANDS LÄN</t>
        </is>
      </c>
      <c r="E426" t="inlineStr">
        <is>
          <t>FÄRGELANDA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21321-2023</t>
        </is>
      </c>
      <c r="B427" s="1" t="n">
        <v>45062</v>
      </c>
      <c r="C427" s="1" t="n">
        <v>45273</v>
      </c>
      <c r="D427" t="inlineStr">
        <is>
          <t>VÄSTRA GÖTALANDS LÄN</t>
        </is>
      </c>
      <c r="E427" t="inlineStr">
        <is>
          <t>FÄRGELANDA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21314-2023</t>
        </is>
      </c>
      <c r="B428" s="1" t="n">
        <v>45062</v>
      </c>
      <c r="C428" s="1" t="n">
        <v>45273</v>
      </c>
      <c r="D428" t="inlineStr">
        <is>
          <t>VÄSTRA GÖTALANDS LÄN</t>
        </is>
      </c>
      <c r="E428" t="inlineStr">
        <is>
          <t>FÄRGELANDA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21266-2023</t>
        </is>
      </c>
      <c r="B429" s="1" t="n">
        <v>45062</v>
      </c>
      <c r="C429" s="1" t="n">
        <v>45273</v>
      </c>
      <c r="D429" t="inlineStr">
        <is>
          <t>VÄSTRA GÖTALANDS LÄN</t>
        </is>
      </c>
      <c r="E429" t="inlineStr">
        <is>
          <t>FÄRGELANDA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21311-2023</t>
        </is>
      </c>
      <c r="B430" s="1" t="n">
        <v>45062</v>
      </c>
      <c r="C430" s="1" t="n">
        <v>45273</v>
      </c>
      <c r="D430" t="inlineStr">
        <is>
          <t>VÄSTRA GÖTALANDS LÄN</t>
        </is>
      </c>
      <c r="E430" t="inlineStr">
        <is>
          <t>FÄRGELANDA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21320-2023</t>
        </is>
      </c>
      <c r="B431" s="1" t="n">
        <v>45062</v>
      </c>
      <c r="C431" s="1" t="n">
        <v>45273</v>
      </c>
      <c r="D431" t="inlineStr">
        <is>
          <t>VÄSTRA GÖTALANDS LÄN</t>
        </is>
      </c>
      <c r="E431" t="inlineStr">
        <is>
          <t>FÄRGELANDA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21449-2023</t>
        </is>
      </c>
      <c r="B432" s="1" t="n">
        <v>45063</v>
      </c>
      <c r="C432" s="1" t="n">
        <v>45273</v>
      </c>
      <c r="D432" t="inlineStr">
        <is>
          <t>VÄSTRA GÖTALANDS LÄN</t>
        </is>
      </c>
      <c r="E432" t="inlineStr">
        <is>
          <t>FÄRGELANDA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22719-2023</t>
        </is>
      </c>
      <c r="B433" s="1" t="n">
        <v>45071</v>
      </c>
      <c r="C433" s="1" t="n">
        <v>45273</v>
      </c>
      <c r="D433" t="inlineStr">
        <is>
          <t>VÄSTRA GÖTALANDS LÄN</t>
        </is>
      </c>
      <c r="E433" t="inlineStr">
        <is>
          <t>FÄRGELANDA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22722-2023</t>
        </is>
      </c>
      <c r="B434" s="1" t="n">
        <v>45071</v>
      </c>
      <c r="C434" s="1" t="n">
        <v>45273</v>
      </c>
      <c r="D434" t="inlineStr">
        <is>
          <t>VÄSTRA GÖTALANDS LÄN</t>
        </is>
      </c>
      <c r="E434" t="inlineStr">
        <is>
          <t>FÄRGELANDA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22721-2023</t>
        </is>
      </c>
      <c r="B435" s="1" t="n">
        <v>45071</v>
      </c>
      <c r="C435" s="1" t="n">
        <v>45273</v>
      </c>
      <c r="D435" t="inlineStr">
        <is>
          <t>VÄSTRA GÖTALANDS LÄN</t>
        </is>
      </c>
      <c r="E435" t="inlineStr">
        <is>
          <t>FÄRGELANDA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23120-2023</t>
        </is>
      </c>
      <c r="B436" s="1" t="n">
        <v>45075</v>
      </c>
      <c r="C436" s="1" t="n">
        <v>45273</v>
      </c>
      <c r="D436" t="inlineStr">
        <is>
          <t>VÄSTRA GÖTALANDS LÄN</t>
        </is>
      </c>
      <c r="E436" t="inlineStr">
        <is>
          <t>FÄRGELANDA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23124-2023</t>
        </is>
      </c>
      <c r="B437" s="1" t="n">
        <v>45075</v>
      </c>
      <c r="C437" s="1" t="n">
        <v>45273</v>
      </c>
      <c r="D437" t="inlineStr">
        <is>
          <t>VÄSTRA GÖTALANDS LÄN</t>
        </is>
      </c>
      <c r="E437" t="inlineStr">
        <is>
          <t>FÄRGELANDA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24075-2023</t>
        </is>
      </c>
      <c r="B438" s="1" t="n">
        <v>45078</v>
      </c>
      <c r="C438" s="1" t="n">
        <v>45273</v>
      </c>
      <c r="D438" t="inlineStr">
        <is>
          <t>VÄSTRA GÖTALANDS LÄN</t>
        </is>
      </c>
      <c r="E438" t="inlineStr">
        <is>
          <t>FÄRGELANDA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24074-2023</t>
        </is>
      </c>
      <c r="B439" s="1" t="n">
        <v>45078</v>
      </c>
      <c r="C439" s="1" t="n">
        <v>45273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24284-2023</t>
        </is>
      </c>
      <c r="B440" s="1" t="n">
        <v>45079</v>
      </c>
      <c r="C440" s="1" t="n">
        <v>45273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24791-2023</t>
        </is>
      </c>
      <c r="B441" s="1" t="n">
        <v>45084</v>
      </c>
      <c r="C441" s="1" t="n">
        <v>45273</v>
      </c>
      <c r="D441" t="inlineStr">
        <is>
          <t>VÄSTRA GÖTALANDS LÄN</t>
        </is>
      </c>
      <c r="E441" t="inlineStr">
        <is>
          <t>FÄRGELANDA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25223-2023</t>
        </is>
      </c>
      <c r="B442" s="1" t="n">
        <v>45086</v>
      </c>
      <c r="C442" s="1" t="n">
        <v>45273</v>
      </c>
      <c r="D442" t="inlineStr">
        <is>
          <t>VÄSTRA GÖTALANDS LÄN</t>
        </is>
      </c>
      <c r="E442" t="inlineStr">
        <is>
          <t>FÄRGELANDA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26105-2023</t>
        </is>
      </c>
      <c r="B443" s="1" t="n">
        <v>45091</v>
      </c>
      <c r="C443" s="1" t="n">
        <v>45273</v>
      </c>
      <c r="D443" t="inlineStr">
        <is>
          <t>VÄSTRA GÖTALANDS LÄN</t>
        </is>
      </c>
      <c r="E443" t="inlineStr">
        <is>
          <t>FÄRGELANDA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26108-2023</t>
        </is>
      </c>
      <c r="B444" s="1" t="n">
        <v>45091</v>
      </c>
      <c r="C444" s="1" t="n">
        <v>45273</v>
      </c>
      <c r="D444" t="inlineStr">
        <is>
          <t>VÄSTRA GÖTALANDS LÄN</t>
        </is>
      </c>
      <c r="E444" t="inlineStr">
        <is>
          <t>FÄRGELANDA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27841-2023</t>
        </is>
      </c>
      <c r="B445" s="1" t="n">
        <v>45098</v>
      </c>
      <c r="C445" s="1" t="n">
        <v>45273</v>
      </c>
      <c r="D445" t="inlineStr">
        <is>
          <t>VÄSTRA GÖTALANDS LÄN</t>
        </is>
      </c>
      <c r="E445" t="inlineStr">
        <is>
          <t>FÄRGELANDA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27941-2023</t>
        </is>
      </c>
      <c r="B446" s="1" t="n">
        <v>45098</v>
      </c>
      <c r="C446" s="1" t="n">
        <v>45273</v>
      </c>
      <c r="D446" t="inlineStr">
        <is>
          <t>VÄSTRA GÖTALANDS LÄN</t>
        </is>
      </c>
      <c r="E446" t="inlineStr">
        <is>
          <t>FÄRGELANDA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28890-2023</t>
        </is>
      </c>
      <c r="B447" s="1" t="n">
        <v>45104</v>
      </c>
      <c r="C447" s="1" t="n">
        <v>45273</v>
      </c>
      <c r="D447" t="inlineStr">
        <is>
          <t>VÄSTRA GÖTALANDS LÄN</t>
        </is>
      </c>
      <c r="E447" t="inlineStr">
        <is>
          <t>FÄRGELANDA</t>
        </is>
      </c>
      <c r="G447" t="n">
        <v>17.1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29048-2023</t>
        </is>
      </c>
      <c r="B448" s="1" t="n">
        <v>45104</v>
      </c>
      <c r="C448" s="1" t="n">
        <v>45273</v>
      </c>
      <c r="D448" t="inlineStr">
        <is>
          <t>VÄSTRA GÖTALANDS LÄN</t>
        </is>
      </c>
      <c r="E448" t="inlineStr">
        <is>
          <t>FÄRGELANDA</t>
        </is>
      </c>
      <c r="G448" t="n">
        <v>26.8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29049-2023</t>
        </is>
      </c>
      <c r="B449" s="1" t="n">
        <v>45104</v>
      </c>
      <c r="C449" s="1" t="n">
        <v>45273</v>
      </c>
      <c r="D449" t="inlineStr">
        <is>
          <t>VÄSTRA GÖTALANDS LÄN</t>
        </is>
      </c>
      <c r="E449" t="inlineStr">
        <is>
          <t>FÄRGELANDA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29399-2023</t>
        </is>
      </c>
      <c r="B450" s="1" t="n">
        <v>45106</v>
      </c>
      <c r="C450" s="1" t="n">
        <v>45273</v>
      </c>
      <c r="D450" t="inlineStr">
        <is>
          <t>VÄSTRA GÖTALANDS LÄN</t>
        </is>
      </c>
      <c r="E450" t="inlineStr">
        <is>
          <t>FÄRGELANDA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29754-2023</t>
        </is>
      </c>
      <c r="B451" s="1" t="n">
        <v>45107</v>
      </c>
      <c r="C451" s="1" t="n">
        <v>45273</v>
      </c>
      <c r="D451" t="inlineStr">
        <is>
          <t>VÄSTRA GÖTALANDS LÄN</t>
        </is>
      </c>
      <c r="E451" t="inlineStr">
        <is>
          <t>FÄRGELANDA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29771-2023</t>
        </is>
      </c>
      <c r="B452" s="1" t="n">
        <v>45107</v>
      </c>
      <c r="C452" s="1" t="n">
        <v>45273</v>
      </c>
      <c r="D452" t="inlineStr">
        <is>
          <t>VÄSTRA GÖTALANDS LÄN</t>
        </is>
      </c>
      <c r="E452" t="inlineStr">
        <is>
          <t>FÄRGELANDA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29777-2023</t>
        </is>
      </c>
      <c r="B453" s="1" t="n">
        <v>45107</v>
      </c>
      <c r="C453" s="1" t="n">
        <v>45273</v>
      </c>
      <c r="D453" t="inlineStr">
        <is>
          <t>VÄSTRA GÖTALANDS LÄN</t>
        </is>
      </c>
      <c r="E453" t="inlineStr">
        <is>
          <t>FÄRGELANDA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34210-2023</t>
        </is>
      </c>
      <c r="B454" s="1" t="n">
        <v>45138</v>
      </c>
      <c r="C454" s="1" t="n">
        <v>45273</v>
      </c>
      <c r="D454" t="inlineStr">
        <is>
          <t>VÄSTRA GÖTALANDS LÄN</t>
        </is>
      </c>
      <c r="E454" t="inlineStr">
        <is>
          <t>FÄRGELANDA</t>
        </is>
      </c>
      <c r="G454" t="n">
        <v>19.2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34433-2023</t>
        </is>
      </c>
      <c r="B455" s="1" t="n">
        <v>45139</v>
      </c>
      <c r="C455" s="1" t="n">
        <v>45273</v>
      </c>
      <c r="D455" t="inlineStr">
        <is>
          <t>VÄSTRA GÖTALANDS LÄN</t>
        </is>
      </c>
      <c r="E455" t="inlineStr">
        <is>
          <t>FÄRGELANDA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34715-2023</t>
        </is>
      </c>
      <c r="B456" s="1" t="n">
        <v>45141</v>
      </c>
      <c r="C456" s="1" t="n">
        <v>45273</v>
      </c>
      <c r="D456" t="inlineStr">
        <is>
          <t>VÄSTRA GÖTALANDS LÄN</t>
        </is>
      </c>
      <c r="E456" t="inlineStr">
        <is>
          <t>FÄRGELANDA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34718-2023</t>
        </is>
      </c>
      <c r="B457" s="1" t="n">
        <v>45141</v>
      </c>
      <c r="C457" s="1" t="n">
        <v>45273</v>
      </c>
      <c r="D457" t="inlineStr">
        <is>
          <t>VÄSTRA GÖTALANDS LÄN</t>
        </is>
      </c>
      <c r="E457" t="inlineStr">
        <is>
          <t>FÄRGELANDA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35094-2023</t>
        </is>
      </c>
      <c r="B458" s="1" t="n">
        <v>45145</v>
      </c>
      <c r="C458" s="1" t="n">
        <v>45273</v>
      </c>
      <c r="D458" t="inlineStr">
        <is>
          <t>VÄSTRA GÖTALANDS LÄN</t>
        </is>
      </c>
      <c r="E458" t="inlineStr">
        <is>
          <t>FÄRGELANDA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35098-2023</t>
        </is>
      </c>
      <c r="B459" s="1" t="n">
        <v>45145</v>
      </c>
      <c r="C459" s="1" t="n">
        <v>45273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36606-2023</t>
        </is>
      </c>
      <c r="B460" s="1" t="n">
        <v>45153</v>
      </c>
      <c r="C460" s="1" t="n">
        <v>45273</v>
      </c>
      <c r="D460" t="inlineStr">
        <is>
          <t>VÄSTRA GÖTALANDS LÄN</t>
        </is>
      </c>
      <c r="E460" t="inlineStr">
        <is>
          <t>FÄRGELANDA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36648-2023</t>
        </is>
      </c>
      <c r="B461" s="1" t="n">
        <v>45153</v>
      </c>
      <c r="C461" s="1" t="n">
        <v>45273</v>
      </c>
      <c r="D461" t="inlineStr">
        <is>
          <t>VÄSTRA GÖTALANDS LÄN</t>
        </is>
      </c>
      <c r="E461" t="inlineStr">
        <is>
          <t>FÄRGELANDA</t>
        </is>
      </c>
      <c r="F461" t="inlineStr">
        <is>
          <t>Övriga Aktiebolag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36670-2023</t>
        </is>
      </c>
      <c r="B462" s="1" t="n">
        <v>45153</v>
      </c>
      <c r="C462" s="1" t="n">
        <v>45273</v>
      </c>
      <c r="D462" t="inlineStr">
        <is>
          <t>VÄSTRA GÖTALANDS LÄN</t>
        </is>
      </c>
      <c r="E462" t="inlineStr">
        <is>
          <t>FÄRGELANDA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36615-2023</t>
        </is>
      </c>
      <c r="B463" s="1" t="n">
        <v>45153</v>
      </c>
      <c r="C463" s="1" t="n">
        <v>45273</v>
      </c>
      <c r="D463" t="inlineStr">
        <is>
          <t>VÄSTRA GÖTALANDS LÄN</t>
        </is>
      </c>
      <c r="E463" t="inlineStr">
        <is>
          <t>FÄRGELANDA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37783-2023</t>
        </is>
      </c>
      <c r="B464" s="1" t="n">
        <v>45159</v>
      </c>
      <c r="C464" s="1" t="n">
        <v>45273</v>
      </c>
      <c r="D464" t="inlineStr">
        <is>
          <t>VÄSTRA GÖTALANDS LÄN</t>
        </is>
      </c>
      <c r="E464" t="inlineStr">
        <is>
          <t>FÄRGELANDA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37787-2023</t>
        </is>
      </c>
      <c r="B465" s="1" t="n">
        <v>45159</v>
      </c>
      <c r="C465" s="1" t="n">
        <v>45273</v>
      </c>
      <c r="D465" t="inlineStr">
        <is>
          <t>VÄSTRA GÖTALANDS LÄN</t>
        </is>
      </c>
      <c r="E465" t="inlineStr">
        <is>
          <t>FÄRGELANDA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37784-2023</t>
        </is>
      </c>
      <c r="B466" s="1" t="n">
        <v>45159</v>
      </c>
      <c r="C466" s="1" t="n">
        <v>45273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37788-2023</t>
        </is>
      </c>
      <c r="B467" s="1" t="n">
        <v>45159</v>
      </c>
      <c r="C467" s="1" t="n">
        <v>45273</v>
      </c>
      <c r="D467" t="inlineStr">
        <is>
          <t>VÄSTRA GÖTALANDS LÄN</t>
        </is>
      </c>
      <c r="E467" t="inlineStr">
        <is>
          <t>FÄRGELANDA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39168-2023</t>
        </is>
      </c>
      <c r="B468" s="1" t="n">
        <v>45166</v>
      </c>
      <c r="C468" s="1" t="n">
        <v>45273</v>
      </c>
      <c r="D468" t="inlineStr">
        <is>
          <t>VÄSTRA GÖTALANDS LÄN</t>
        </is>
      </c>
      <c r="E468" t="inlineStr">
        <is>
          <t>FÄRGELANDA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39174-2023</t>
        </is>
      </c>
      <c r="B469" s="1" t="n">
        <v>45166</v>
      </c>
      <c r="C469" s="1" t="n">
        <v>45273</v>
      </c>
      <c r="D469" t="inlineStr">
        <is>
          <t>VÄSTRA GÖTALANDS LÄN</t>
        </is>
      </c>
      <c r="E469" t="inlineStr">
        <is>
          <t>FÄRGELANDA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39962-2023</t>
        </is>
      </c>
      <c r="B470" s="1" t="n">
        <v>45168</v>
      </c>
      <c r="C470" s="1" t="n">
        <v>45273</v>
      </c>
      <c r="D470" t="inlineStr">
        <is>
          <t>VÄSTRA GÖTALANDS LÄN</t>
        </is>
      </c>
      <c r="E470" t="inlineStr">
        <is>
          <t>FÄRGELANDA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40630-2023</t>
        </is>
      </c>
      <c r="B471" s="1" t="n">
        <v>45170</v>
      </c>
      <c r="C471" s="1" t="n">
        <v>45273</v>
      </c>
      <c r="D471" t="inlineStr">
        <is>
          <t>VÄSTRA GÖTALANDS LÄN</t>
        </is>
      </c>
      <c r="E471" t="inlineStr">
        <is>
          <t>FÄRGELANDA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40736-2023</t>
        </is>
      </c>
      <c r="B472" s="1" t="n">
        <v>45170</v>
      </c>
      <c r="C472" s="1" t="n">
        <v>45273</v>
      </c>
      <c r="D472" t="inlineStr">
        <is>
          <t>VÄSTRA GÖTALANDS LÄN</t>
        </is>
      </c>
      <c r="E472" t="inlineStr">
        <is>
          <t>FÄRGELANDA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41439-2023</t>
        </is>
      </c>
      <c r="B473" s="1" t="n">
        <v>45175</v>
      </c>
      <c r="C473" s="1" t="n">
        <v>45273</v>
      </c>
      <c r="D473" t="inlineStr">
        <is>
          <t>VÄSTRA GÖTALANDS LÄN</t>
        </is>
      </c>
      <c r="E473" t="inlineStr">
        <is>
          <t>FÄRGELANDA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42365-2023</t>
        </is>
      </c>
      <c r="B474" s="1" t="n">
        <v>45180</v>
      </c>
      <c r="C474" s="1" t="n">
        <v>45273</v>
      </c>
      <c r="D474" t="inlineStr">
        <is>
          <t>VÄSTRA GÖTALANDS LÄN</t>
        </is>
      </c>
      <c r="E474" t="inlineStr">
        <is>
          <t>FÄRGELANDA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42402-2023</t>
        </is>
      </c>
      <c r="B475" s="1" t="n">
        <v>45180</v>
      </c>
      <c r="C475" s="1" t="n">
        <v>45273</v>
      </c>
      <c r="D475" t="inlineStr">
        <is>
          <t>VÄSTRA GÖTALANDS LÄN</t>
        </is>
      </c>
      <c r="E475" t="inlineStr">
        <is>
          <t>FÄRGELANDA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42743-2023</t>
        </is>
      </c>
      <c r="B476" s="1" t="n">
        <v>45181</v>
      </c>
      <c r="C476" s="1" t="n">
        <v>45273</v>
      </c>
      <c r="D476" t="inlineStr">
        <is>
          <t>VÄSTRA GÖTALANDS LÄN</t>
        </is>
      </c>
      <c r="E476" t="inlineStr">
        <is>
          <t>FÄRGELANDA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44919-2023</t>
        </is>
      </c>
      <c r="B477" s="1" t="n">
        <v>45190</v>
      </c>
      <c r="C477" s="1" t="n">
        <v>45273</v>
      </c>
      <c r="D477" t="inlineStr">
        <is>
          <t>VÄSTRA GÖTALANDS LÄN</t>
        </is>
      </c>
      <c r="E477" t="inlineStr">
        <is>
          <t>FÄRGELANDA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45183-2023</t>
        </is>
      </c>
      <c r="B478" s="1" t="n">
        <v>45191</v>
      </c>
      <c r="C478" s="1" t="n">
        <v>45273</v>
      </c>
      <c r="D478" t="inlineStr">
        <is>
          <t>VÄSTRA GÖTALANDS LÄN</t>
        </is>
      </c>
      <c r="E478" t="inlineStr">
        <is>
          <t>FÄRGELANDA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45182-2023</t>
        </is>
      </c>
      <c r="B479" s="1" t="n">
        <v>45191</v>
      </c>
      <c r="C479" s="1" t="n">
        <v>45273</v>
      </c>
      <c r="D479" t="inlineStr">
        <is>
          <t>VÄSTRA GÖTALANDS LÄN</t>
        </is>
      </c>
      <c r="E479" t="inlineStr">
        <is>
          <t>FÄRGELANDA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46037-2023</t>
        </is>
      </c>
      <c r="B480" s="1" t="n">
        <v>45196</v>
      </c>
      <c r="C480" s="1" t="n">
        <v>45273</v>
      </c>
      <c r="D480" t="inlineStr">
        <is>
          <t>VÄSTRA GÖTALANDS LÄN</t>
        </is>
      </c>
      <c r="E480" t="inlineStr">
        <is>
          <t>FÄRGELANDA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47045-2023</t>
        </is>
      </c>
      <c r="B481" s="1" t="n">
        <v>45201</v>
      </c>
      <c r="C481" s="1" t="n">
        <v>45273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46879-2023</t>
        </is>
      </c>
      <c r="B482" s="1" t="n">
        <v>45201</v>
      </c>
      <c r="C482" s="1" t="n">
        <v>45273</v>
      </c>
      <c r="D482" t="inlineStr">
        <is>
          <t>VÄSTRA GÖTALANDS LÄN</t>
        </is>
      </c>
      <c r="E482" t="inlineStr">
        <is>
          <t>FÄRGELANDA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47461-2023</t>
        </is>
      </c>
      <c r="B483" s="1" t="n">
        <v>45202</v>
      </c>
      <c r="C483" s="1" t="n">
        <v>45273</v>
      </c>
      <c r="D483" t="inlineStr">
        <is>
          <t>VÄSTRA GÖTALANDS LÄN</t>
        </is>
      </c>
      <c r="E483" t="inlineStr">
        <is>
          <t>FÄRGELANDA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48850-2023</t>
        </is>
      </c>
      <c r="B484" s="1" t="n">
        <v>45209</v>
      </c>
      <c r="C484" s="1" t="n">
        <v>45273</v>
      </c>
      <c r="D484" t="inlineStr">
        <is>
          <t>VÄSTRA GÖTALANDS LÄN</t>
        </is>
      </c>
      <c r="E484" t="inlineStr">
        <is>
          <t>FÄRGELANDA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49257-2023</t>
        </is>
      </c>
      <c r="B485" s="1" t="n">
        <v>45210</v>
      </c>
      <c r="C485" s="1" t="n">
        <v>45273</v>
      </c>
      <c r="D485" t="inlineStr">
        <is>
          <t>VÄSTRA GÖTALANDS LÄN</t>
        </is>
      </c>
      <c r="E485" t="inlineStr">
        <is>
          <t>FÄRGELANDA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49386-2023</t>
        </is>
      </c>
      <c r="B486" s="1" t="n">
        <v>45211</v>
      </c>
      <c r="C486" s="1" t="n">
        <v>45273</v>
      </c>
      <c r="D486" t="inlineStr">
        <is>
          <t>VÄSTRA GÖTALANDS LÄN</t>
        </is>
      </c>
      <c r="E486" t="inlineStr">
        <is>
          <t>FÄRGELANDA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49825-2023</t>
        </is>
      </c>
      <c r="B487" s="1" t="n">
        <v>45212</v>
      </c>
      <c r="C487" s="1" t="n">
        <v>45273</v>
      </c>
      <c r="D487" t="inlineStr">
        <is>
          <t>VÄSTRA GÖTALANDS LÄN</t>
        </is>
      </c>
      <c r="E487" t="inlineStr">
        <is>
          <t>FÄRGELANDA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50046-2023</t>
        </is>
      </c>
      <c r="B488" s="1" t="n">
        <v>45215</v>
      </c>
      <c r="C488" s="1" t="n">
        <v>45273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50628-2023</t>
        </is>
      </c>
      <c r="B489" s="1" t="n">
        <v>45217</v>
      </c>
      <c r="C489" s="1" t="n">
        <v>45273</v>
      </c>
      <c r="D489" t="inlineStr">
        <is>
          <t>VÄSTRA GÖTALANDS LÄN</t>
        </is>
      </c>
      <c r="E489" t="inlineStr">
        <is>
          <t>FÄRGELANDA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51019-2023</t>
        </is>
      </c>
      <c r="B490" s="1" t="n">
        <v>45218</v>
      </c>
      <c r="C490" s="1" t="n">
        <v>45273</v>
      </c>
      <c r="D490" t="inlineStr">
        <is>
          <t>VÄSTRA GÖTALANDS LÄN</t>
        </is>
      </c>
      <c r="E490" t="inlineStr">
        <is>
          <t>FÄRGELANDA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51324-2023</t>
        </is>
      </c>
      <c r="B491" s="1" t="n">
        <v>45219</v>
      </c>
      <c r="C491" s="1" t="n">
        <v>45273</v>
      </c>
      <c r="D491" t="inlineStr">
        <is>
          <t>VÄSTRA GÖTALANDS LÄN</t>
        </is>
      </c>
      <c r="E491" t="inlineStr">
        <is>
          <t>FÄRGELANDA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53383-2023</t>
        </is>
      </c>
      <c r="B492" s="1" t="n">
        <v>45229</v>
      </c>
      <c r="C492" s="1" t="n">
        <v>45273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55304-2023</t>
        </is>
      </c>
      <c r="B493" s="1" t="n">
        <v>45237</v>
      </c>
      <c r="C493" s="1" t="n">
        <v>45273</v>
      </c>
      <c r="D493" t="inlineStr">
        <is>
          <t>VÄSTRA GÖTALANDS LÄN</t>
        </is>
      </c>
      <c r="E493" t="inlineStr">
        <is>
          <t>FÄRGELANDA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55310-2023</t>
        </is>
      </c>
      <c r="B494" s="1" t="n">
        <v>45237</v>
      </c>
      <c r="C494" s="1" t="n">
        <v>45273</v>
      </c>
      <c r="D494" t="inlineStr">
        <is>
          <t>VÄSTRA GÖTALANDS LÄN</t>
        </is>
      </c>
      <c r="E494" t="inlineStr">
        <is>
          <t>FÄRGELANDA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55840-2023</t>
        </is>
      </c>
      <c r="B495" s="1" t="n">
        <v>45239</v>
      </c>
      <c r="C495" s="1" t="n">
        <v>45273</v>
      </c>
      <c r="D495" t="inlineStr">
        <is>
          <t>VÄSTRA GÖTALANDS LÄN</t>
        </is>
      </c>
      <c r="E495" t="inlineStr">
        <is>
          <t>FÄRGELANDA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56207-2023</t>
        </is>
      </c>
      <c r="B496" s="1" t="n">
        <v>45240</v>
      </c>
      <c r="C496" s="1" t="n">
        <v>45273</v>
      </c>
      <c r="D496" t="inlineStr">
        <is>
          <t>VÄSTRA GÖTALANDS LÄN</t>
        </is>
      </c>
      <c r="E496" t="inlineStr">
        <is>
          <t>FÄRGELANDA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56305-2023</t>
        </is>
      </c>
      <c r="B497" s="1" t="n">
        <v>45242</v>
      </c>
      <c r="C497" s="1" t="n">
        <v>45273</v>
      </c>
      <c r="D497" t="inlineStr">
        <is>
          <t>VÄSTRA GÖTALANDS LÄN</t>
        </is>
      </c>
      <c r="E497" t="inlineStr">
        <is>
          <t>FÄRGELANDA</t>
        </is>
      </c>
      <c r="G497" t="n">
        <v>20.1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45273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45273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57991-2023</t>
        </is>
      </c>
      <c r="B500" s="1" t="n">
        <v>45247</v>
      </c>
      <c r="C500" s="1" t="n">
        <v>45273</v>
      </c>
      <c r="D500" t="inlineStr">
        <is>
          <t>VÄSTRA GÖTALANDS LÄN</t>
        </is>
      </c>
      <c r="E500" t="inlineStr">
        <is>
          <t>FÄRGELANDA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57884-2023</t>
        </is>
      </c>
      <c r="B501" s="1" t="n">
        <v>45247</v>
      </c>
      <c r="C501" s="1" t="n">
        <v>45273</v>
      </c>
      <c r="D501" t="inlineStr">
        <is>
          <t>VÄSTRA GÖTALANDS LÄN</t>
        </is>
      </c>
      <c r="E501" t="inlineStr">
        <is>
          <t>FÄRGELANDA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58275-2023</t>
        </is>
      </c>
      <c r="B502" s="1" t="n">
        <v>45250</v>
      </c>
      <c r="C502" s="1" t="n">
        <v>45273</v>
      </c>
      <c r="D502" t="inlineStr">
        <is>
          <t>VÄSTRA GÖTALANDS LÄN</t>
        </is>
      </c>
      <c r="E502" t="inlineStr">
        <is>
          <t>FÄRGELANDA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45273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59020-2023</t>
        </is>
      </c>
      <c r="B504" s="1" t="n">
        <v>45252</v>
      </c>
      <c r="C504" s="1" t="n">
        <v>45273</v>
      </c>
      <c r="D504" t="inlineStr">
        <is>
          <t>VÄSTRA GÖTALANDS LÄN</t>
        </is>
      </c>
      <c r="E504" t="inlineStr">
        <is>
          <t>FÄRGELANDA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59022-2023</t>
        </is>
      </c>
      <c r="B505" s="1" t="n">
        <v>45252</v>
      </c>
      <c r="C505" s="1" t="n">
        <v>45273</v>
      </c>
      <c r="D505" t="inlineStr">
        <is>
          <t>VÄSTRA GÖTALANDS LÄN</t>
        </is>
      </c>
      <c r="E505" t="inlineStr">
        <is>
          <t>FÄRGELANDA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59023-2023</t>
        </is>
      </c>
      <c r="B506" s="1" t="n">
        <v>45252</v>
      </c>
      <c r="C506" s="1" t="n">
        <v>45273</v>
      </c>
      <c r="D506" t="inlineStr">
        <is>
          <t>VÄSTRA GÖTALANDS LÄN</t>
        </is>
      </c>
      <c r="E506" t="inlineStr">
        <is>
          <t>FÄRGELANDA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59025-2023</t>
        </is>
      </c>
      <c r="B507" s="1" t="n">
        <v>45252</v>
      </c>
      <c r="C507" s="1" t="n">
        <v>45273</v>
      </c>
      <c r="D507" t="inlineStr">
        <is>
          <t>VÄSTRA GÖTALANDS LÄN</t>
        </is>
      </c>
      <c r="E507" t="inlineStr">
        <is>
          <t>FÄRGELANDA</t>
        </is>
      </c>
      <c r="G507" t="n">
        <v>44.5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59507-2023</t>
        </is>
      </c>
      <c r="B508" s="1" t="n">
        <v>45254</v>
      </c>
      <c r="C508" s="1" t="n">
        <v>45273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60382-2023</t>
        </is>
      </c>
      <c r="B509" s="1" t="n">
        <v>45259</v>
      </c>
      <c r="C509" s="1" t="n">
        <v>45273</v>
      </c>
      <c r="D509" t="inlineStr">
        <is>
          <t>VÄSTRA GÖTALANDS LÄN</t>
        </is>
      </c>
      <c r="E509" t="inlineStr">
        <is>
          <t>FÄRGELANDA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60756-2023</t>
        </is>
      </c>
      <c r="B510" s="1" t="n">
        <v>45260</v>
      </c>
      <c r="C510" s="1" t="n">
        <v>45273</v>
      </c>
      <c r="D510" t="inlineStr">
        <is>
          <t>VÄSTRA GÖTALANDS LÄN</t>
        </is>
      </c>
      <c r="E510" t="inlineStr">
        <is>
          <t>FÄRGELANDA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60766-2023</t>
        </is>
      </c>
      <c r="B511" s="1" t="n">
        <v>45260</v>
      </c>
      <c r="C511" s="1" t="n">
        <v>45273</v>
      </c>
      <c r="D511" t="inlineStr">
        <is>
          <t>VÄSTRA GÖTALANDS LÄN</t>
        </is>
      </c>
      <c r="E511" t="inlineStr">
        <is>
          <t>FÄRGELANDA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61160-2023</t>
        </is>
      </c>
      <c r="B512" s="1" t="n">
        <v>45262</v>
      </c>
      <c r="C512" s="1" t="n">
        <v>45273</v>
      </c>
      <c r="D512" t="inlineStr">
        <is>
          <t>VÄSTRA GÖTALANDS LÄN</t>
        </is>
      </c>
      <c r="E512" t="inlineStr">
        <is>
          <t>FÄRGELANDA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45273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61769-2023</t>
        </is>
      </c>
      <c r="B514" s="1" t="n">
        <v>45265</v>
      </c>
      <c r="C514" s="1" t="n">
        <v>45273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62129-2023</t>
        </is>
      </c>
      <c r="B515" s="1" t="n">
        <v>45267</v>
      </c>
      <c r="C515" s="1" t="n">
        <v>45273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62146-2023</t>
        </is>
      </c>
      <c r="B516" s="1" t="n">
        <v>45267</v>
      </c>
      <c r="C516" s="1" t="n">
        <v>45273</v>
      </c>
      <c r="D516" t="inlineStr">
        <is>
          <t>VÄSTRA GÖTALANDS LÄN</t>
        </is>
      </c>
      <c r="E516" t="inlineStr">
        <is>
          <t>FÄRGELANDA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62383-2023</t>
        </is>
      </c>
      <c r="B517" s="1" t="n">
        <v>45268</v>
      </c>
      <c r="C517" s="1" t="n">
        <v>45273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62388-2023</t>
        </is>
      </c>
      <c r="B518" s="1" t="n">
        <v>45268</v>
      </c>
      <c r="C518" s="1" t="n">
        <v>45273</v>
      </c>
      <c r="D518" t="inlineStr">
        <is>
          <t>VÄSTRA GÖTALANDS LÄN</t>
        </is>
      </c>
      <c r="E518" t="inlineStr">
        <is>
          <t>FÄRGELANDA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62531-2023</t>
        </is>
      </c>
      <c r="B519" s="1" t="n">
        <v>45268</v>
      </c>
      <c r="C519" s="1" t="n">
        <v>45273</v>
      </c>
      <c r="D519" t="inlineStr">
        <is>
          <t>VÄSTRA GÖTALANDS LÄN</t>
        </is>
      </c>
      <c r="E519" t="inlineStr">
        <is>
          <t>FÄRGELANDA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62643-2023</t>
        </is>
      </c>
      <c r="B520" s="1" t="n">
        <v>45271</v>
      </c>
      <c r="C520" s="1" t="n">
        <v>45273</v>
      </c>
      <c r="D520" t="inlineStr">
        <is>
          <t>VÄSTRA GÖTALANDS LÄN</t>
        </is>
      </c>
      <c r="E520" t="inlineStr">
        <is>
          <t>FÄRGELANDA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2023-12-13T09:53:18Z</dcterms:created>
  <dcterms:modified xmlns:dcterms="http://purl.org/dc/terms/" xmlns:xsi="http://www.w3.org/2001/XMLSchema-instance" xsi:type="dcterms:W3CDTF">2023-12-13T09:53:18Z</dcterms:modified>
</cp:coreProperties>
</file>