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46321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46321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46321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46321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46321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46321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46321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46321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25091-2026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46321</v>
      </c>
      <c r="F10" t="inlineStr">
        <is>
          <t>VÄSTRA GÖTALANDS LÄN</t>
        </is>
      </c>
      <c r="G10" t="inlineStr">
        <is>
          <t>FÄRGELANDA</t>
        </is>
      </c>
      <c r="I10" t="n">
        <v>4.4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Grön sköldmossa
Kornknutmossa</t>
        </is>
      </c>
      <c r="W10">
        <f>HYPERLINK("https://klasma.github.io/Logging_1439/artfynd/A 25091-2026 artfynd.xlsx", "A 25091-2026")</f>
        <v/>
      </c>
      <c r="X10">
        <f>HYPERLINK("https://klasma.github.io/Logging_1439/kartor/A 25091-2026 karta.png", "A 25091-2026")</f>
        <v/>
      </c>
      <c r="Y10">
        <f>HYPERLINK("https://klasma.github.io/Logging_1439/kartor_geotiff/A 25091-2026 georefererad karta.tif", "A 25091-2026")</f>
        <v/>
      </c>
      <c r="AA10">
        <f>HYPERLINK("https://klasma.github.io/Logging_1439/klagomål/A 25091-2026 FSC-klagomål.docx", "A 25091-2026")</f>
        <v/>
      </c>
      <c r="AB10">
        <f>HYPERLINK("https://klasma.github.io/Logging_1439/klagomålsmail/A 25091-2026 FSC-klagomål mail.docx", "A 25091-2026")</f>
        <v/>
      </c>
      <c r="AC10">
        <f>HYPERLINK("https://klasma.github.io/Logging_1439/tillsyn/A 25091-2026 tillsynsbegäran.docx", "A 25091-2026")</f>
        <v/>
      </c>
      <c r="AD10">
        <f>HYPERLINK("https://klasma.github.io/Logging_1439/tillsynsmail/A 25091-2026 tillsynsbegäran mail.docx", "A 25091-2026")</f>
        <v/>
      </c>
    </row>
    <row r="11" ht="15" customHeight="1">
      <c r="A11" t="inlineStr">
        <is>
          <t>A 24074-2023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46321</v>
      </c>
      <c r="F11" t="inlineStr">
        <is>
          <t>VÄSTRA GÖTALANDS LÄN</t>
        </is>
      </c>
      <c r="G11" t="inlineStr">
        <is>
          <t>FÄRGELANDA</t>
        </is>
      </c>
      <c r="I11" t="n">
        <v>0.5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Vätteros
Blåsippa</t>
        </is>
      </c>
      <c r="W11">
        <f>HYPERLINK("https://klasma.github.io/Logging_1439/artfynd/A 24074-2023 artfynd.xlsx", "A 24074-2023")</f>
        <v/>
      </c>
      <c r="X11">
        <f>HYPERLINK("https://klasma.github.io/Logging_1439/kartor/A 24074-2023 karta.png", "A 24074-2023")</f>
        <v/>
      </c>
      <c r="Y11">
        <f>HYPERLINK("https://klasma.github.io/Logging_1439/kartor_geotiff/A 24074-2023 georefererad karta.tif", "A 24074-2023")</f>
        <v/>
      </c>
      <c r="AA11">
        <f>HYPERLINK("https://klasma.github.io/Logging_1439/klagomål/A 24074-2023 FSC-klagomål.docx", "A 24074-2023")</f>
        <v/>
      </c>
      <c r="AB11">
        <f>HYPERLINK("https://klasma.github.io/Logging_1439/klagomålsmail/A 24074-2023 FSC-klagomål mail.docx", "A 24074-2023")</f>
        <v/>
      </c>
      <c r="AC11">
        <f>HYPERLINK("https://klasma.github.io/Logging_1439/tillsyn/A 24074-2023 tillsynsbegäran.docx", "A 24074-2023")</f>
        <v/>
      </c>
      <c r="AD11">
        <f>HYPERLINK("https://klasma.github.io/Logging_1439/tillsynsmail/A 24074-2023 tillsynsbegäran mail.docx", "A 24074-2023")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46321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46321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46321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46321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46321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41946-2026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46303</v>
      </c>
      <c r="E17" s="1" t="n">
        <v>46321</v>
      </c>
      <c r="F17" t="inlineStr">
        <is>
          <t>VÄSTRA GÖTALANDS LÄN</t>
        </is>
      </c>
      <c r="G17" t="inlineStr">
        <is>
          <t>FÄRGELANDA</t>
        </is>
      </c>
      <c r="I17" t="n">
        <v>8.800000000000001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Svinrot</t>
        </is>
      </c>
      <c r="W17">
        <f>HYPERLINK("https://klasma.github.io/Logging_1439/artfynd/A 41946-2026 artfynd.xlsx", "A 41946-2026")</f>
        <v/>
      </c>
      <c r="X17">
        <f>HYPERLINK("https://klasma.github.io/Logging_1439/kartor/A 41946-2026 karta.png", "A 41946-2026")</f>
        <v/>
      </c>
      <c r="Y17">
        <f>HYPERLINK("https://klasma.github.io/Logging_1439/kartor_geotiff/A 41946-2026 georefererad karta.tif", "A 41946-2026")</f>
        <v/>
      </c>
      <c r="AA17">
        <f>HYPERLINK("https://klasma.github.io/Logging_1439/klagomål/A 41946-2026 FSC-klagomål.docx", "A 41946-2026")</f>
        <v/>
      </c>
      <c r="AB17">
        <f>HYPERLINK("https://klasma.github.io/Logging_1439/klagomålsmail/A 41946-2026 FSC-klagomål mail.docx", "A 41946-2026")</f>
        <v/>
      </c>
      <c r="AC17">
        <f>HYPERLINK("https://klasma.github.io/Logging_1439/tillsyn/A 41946-2026 tillsynsbegäran.docx", "A 41946-2026")</f>
        <v/>
      </c>
      <c r="AD17">
        <f>HYPERLINK("https://klasma.github.io/Logging_1439/tillsynsmail/A 41946-2026 tillsynsbegäran mail.docx", "A 41946-2026")</f>
        <v/>
      </c>
    </row>
    <row r="18" ht="15" customHeight="1">
      <c r="A18" t="inlineStr">
        <is>
          <t>A 60624-2022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44911</v>
      </c>
      <c r="E18" s="1" t="n">
        <v>46321</v>
      </c>
      <c r="F18" t="inlineStr">
        <is>
          <t>VÄSTRA GÖTALANDS LÄN</t>
        </is>
      </c>
      <c r="G18" t="inlineStr">
        <is>
          <t>FÄRGELANDA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HYPERLINK("https://klasma.github.io/Logging_1439/artfynd/A 60624-2022 artfynd.xlsx", "A 60624-2022")</f>
        <v/>
      </c>
      <c r="X18">
        <f>HYPERLINK("https://klasma.github.io/Logging_1439/kartor/A 60624-2022 karta.png", "A 60624-2022")</f>
        <v/>
      </c>
      <c r="Y18">
        <f>HYPERLINK("https://klasma.github.io/Logging_1439/kartor_geotiff/A 60624-2022 georefererad karta.tif", "A 60624-2022")</f>
        <v/>
      </c>
      <c r="AA18">
        <f>HYPERLINK("https://klasma.github.io/Logging_1439/klagomål/A 60624-2022 FSC-klagomål.docx", "A 60624-2022")</f>
        <v/>
      </c>
      <c r="AB18">
        <f>HYPERLINK("https://klasma.github.io/Logging_1439/klagomålsmail/A 60624-2022 FSC-klagomål mail.docx", "A 60624-2022")</f>
        <v/>
      </c>
      <c r="AC18">
        <f>HYPERLINK("https://klasma.github.io/Logging_1439/tillsyn/A 60624-2022 tillsynsbegäran.docx", "A 60624-2022")</f>
        <v/>
      </c>
      <c r="AD18">
        <f>HYPERLINK("https://klasma.github.io/Logging_1439/tillsynsmail/A 60624-2022 tillsynsbegäran mail.docx", "A 60624-2022")</f>
        <v/>
      </c>
    </row>
    <row r="19" ht="15" customHeight="1">
      <c r="A19" t="inlineStr">
        <is>
          <t>A 36645-2023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46321</v>
      </c>
      <c r="F19" t="inlineStr">
        <is>
          <t>VÄSTRA GÖTALANDS LÄN</t>
        </is>
      </c>
      <c r="G19" t="inlineStr">
        <is>
          <t>FÄRGELANDA</t>
        </is>
      </c>
      <c r="I19" t="n">
        <v>6.6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HYPERLINK("https://klasma.github.io/Logging_1439/artfynd/A 36645-2023 artfynd.xlsx", "A 36645-2023")</f>
        <v/>
      </c>
      <c r="X19">
        <f>HYPERLINK("https://klasma.github.io/Logging_1439/kartor/A 36645-2023 karta.png", "A 36645-2023")</f>
        <v/>
      </c>
      <c r="Y19">
        <f>HYPERLINK("https://klasma.github.io/Logging_1439/kartor_geotiff/A 36645-2023 georefererad karta.tif", "A 36645-2023")</f>
        <v/>
      </c>
      <c r="AA19">
        <f>HYPERLINK("https://klasma.github.io/Logging_1439/klagomål/A 36645-2023 FSC-klagomål.docx", "A 36645-2023")</f>
        <v/>
      </c>
      <c r="AB19">
        <f>HYPERLINK("https://klasma.github.io/Logging_1439/klagomålsmail/A 36645-2023 FSC-klagomål mail.docx", "A 36645-2023")</f>
        <v/>
      </c>
      <c r="AC19">
        <f>HYPERLINK("https://klasma.github.io/Logging_1439/tillsyn/A 36645-2023 tillsynsbegäran.docx", "A 36645-2023")</f>
        <v/>
      </c>
      <c r="AD19">
        <f>HYPERLINK("https://klasma.github.io/Logging_1439/tillsynsmail/A 36645-2023 tillsynsbegäran mail.docx", "A 36645-2023")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46321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46321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46321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46321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46321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46321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46321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46321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46321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46321</v>
      </c>
      <c r="F29" t="inlineStr">
        <is>
          <t>VÄSTRA GÖTALANDS LÄN</t>
        </is>
      </c>
      <c r="G29" t="inlineStr">
        <is>
          <t>FÄRGELANDA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46321</v>
      </c>
      <c r="F30" t="inlineStr">
        <is>
          <t>VÄSTRA GÖTALANDS LÄN</t>
        </is>
      </c>
      <c r="G30" t="inlineStr">
        <is>
          <t>FÄRGELANDA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44684</v>
      </c>
      <c r="E31" s="1" t="n">
        <v>46321</v>
      </c>
      <c r="F31" t="inlineStr">
        <is>
          <t>VÄSTRA GÖTALANDS LÄN</t>
        </is>
      </c>
      <c r="G31" t="inlineStr">
        <is>
          <t>FÄRGELANDA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46321</v>
      </c>
      <c r="F32" t="inlineStr">
        <is>
          <t>VÄSTRA GÖTALANDS LÄN</t>
        </is>
      </c>
      <c r="G32" t="inlineStr">
        <is>
          <t>FÄRGELANDA</t>
        </is>
      </c>
      <c r="H32" t="inlineStr">
        <is>
          <t>Kommuner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46321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46321</v>
      </c>
      <c r="F34" t="inlineStr">
        <is>
          <t>VÄSTRA GÖTALANDS LÄN</t>
        </is>
      </c>
      <c r="G34" t="inlineStr">
        <is>
          <t>FÄRGELANDA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44711</v>
      </c>
      <c r="E35" s="1" t="n">
        <v>46321</v>
      </c>
      <c r="F35" t="inlineStr">
        <is>
          <t>VÄSTRA GÖTALANDS LÄN</t>
        </is>
      </c>
      <c r="G35" t="inlineStr">
        <is>
          <t>FÄRGELANDA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44670</v>
      </c>
      <c r="E36" s="1" t="n">
        <v>46321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66405-2021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44518</v>
      </c>
      <c r="E37" s="1" t="n">
        <v>46321</v>
      </c>
      <c r="F37" t="inlineStr">
        <is>
          <t>VÄSTRA GÖTALANDS LÄN</t>
        </is>
      </c>
      <c r="G37" t="inlineStr">
        <is>
          <t>FÄRGELANDA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46321</v>
      </c>
      <c r="F38" t="inlineStr">
        <is>
          <t>VÄSTRA GÖTALANDS LÄN</t>
        </is>
      </c>
      <c r="G38" t="inlineStr">
        <is>
          <t>FÄRGELANDA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46321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46321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44777</v>
      </c>
      <c r="E41" s="1" t="n">
        <v>46321</v>
      </c>
      <c r="F41" t="inlineStr">
        <is>
          <t>VÄSTRA GÖTALANDS LÄN</t>
        </is>
      </c>
      <c r="G41" t="inlineStr">
        <is>
          <t>FÄRGELANDA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46321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17586-2023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45034</v>
      </c>
      <c r="E43" s="1" t="n">
        <v>46321</v>
      </c>
      <c r="F43" t="inlineStr">
        <is>
          <t>VÄSTRA GÖTALANDS LÄN</t>
        </is>
      </c>
      <c r="G43" t="inlineStr">
        <is>
          <t>FÄRGELANDA</t>
        </is>
      </c>
      <c r="I43" t="n">
        <v>5.9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56918-2023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45244</v>
      </c>
      <c r="E44" s="1" t="n">
        <v>46321</v>
      </c>
      <c r="F44" t="inlineStr">
        <is>
          <t>VÄSTRA GÖTALANDS LÄN</t>
        </is>
      </c>
      <c r="G44" t="inlineStr">
        <is>
          <t>FÄRGELANDA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17487-2025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45757</v>
      </c>
      <c r="E45" s="1" t="n">
        <v>46321</v>
      </c>
      <c r="F45" t="inlineStr">
        <is>
          <t>VÄSTRA GÖTALANDS LÄN</t>
        </is>
      </c>
      <c r="G45" t="inlineStr">
        <is>
          <t>FÄRGELANDA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46321</v>
      </c>
      <c r="F46" t="inlineStr">
        <is>
          <t>VÄSTRA GÖTALANDS LÄN</t>
        </is>
      </c>
      <c r="G46" t="inlineStr">
        <is>
          <t>FÄRGELANDA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46321</v>
      </c>
      <c r="F47" t="inlineStr">
        <is>
          <t>VÄSTRA GÖTALANDS LÄN</t>
        </is>
      </c>
      <c r="G47" t="inlineStr">
        <is>
          <t>FÄRGELANDA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46321</v>
      </c>
      <c r="F48" t="inlineStr">
        <is>
          <t>VÄSTRA GÖTALANDS LÄN</t>
        </is>
      </c>
      <c r="G48" t="inlineStr">
        <is>
          <t>FÄRGELANDA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45894</v>
      </c>
      <c r="E49" s="1" t="n">
        <v>46321</v>
      </c>
      <c r="F49" t="inlineStr">
        <is>
          <t>VÄSTRA GÖTALANDS LÄN</t>
        </is>
      </c>
      <c r="G49" t="inlineStr">
        <is>
          <t>FÄRGELANDA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40420-2025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46321</v>
      </c>
      <c r="F50" t="inlineStr">
        <is>
          <t>VÄSTRA GÖTALANDS LÄN</t>
        </is>
      </c>
      <c r="G50" t="inlineStr">
        <is>
          <t>FÄRGELANDA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46321</v>
      </c>
      <c r="F51" t="inlineStr">
        <is>
          <t>VÄSTRA GÖTALANDS LÄN</t>
        </is>
      </c>
      <c r="G51" t="inlineStr">
        <is>
          <t>FÄRGELANDA</t>
        </is>
      </c>
      <c r="I51" t="n">
        <v>11.3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46321</v>
      </c>
      <c r="F52" t="inlineStr">
        <is>
          <t>VÄSTRA GÖTALANDS LÄN</t>
        </is>
      </c>
      <c r="G52" t="inlineStr">
        <is>
          <t>FÄRGELANDA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46321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46321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46321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46321</v>
      </c>
      <c r="F56" t="inlineStr">
        <is>
          <t>VÄSTRA GÖTALANDS LÄN</t>
        </is>
      </c>
      <c r="G56" t="inlineStr">
        <is>
          <t>FÄRGELANDA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46321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46321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46321</v>
      </c>
      <c r="F59" t="inlineStr">
        <is>
          <t>VÄSTRA GÖTALANDS LÄN</t>
        </is>
      </c>
      <c r="G59" t="inlineStr">
        <is>
          <t>FÄRGELANDA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45427</v>
      </c>
      <c r="E60" s="1" t="n">
        <v>46321</v>
      </c>
      <c r="F60" t="inlineStr">
        <is>
          <t>VÄSTRA GÖTALANDS LÄN</t>
        </is>
      </c>
      <c r="G60" t="inlineStr">
        <is>
          <t>FÄRGELANDA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45614</v>
      </c>
      <c r="E61" s="1" t="n">
        <v>46321</v>
      </c>
      <c r="F61" t="inlineStr">
        <is>
          <t>VÄSTRA GÖTALANDS LÄN</t>
        </is>
      </c>
      <c r="G61" t="inlineStr">
        <is>
          <t>FÄRGELANDA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46321</v>
      </c>
      <c r="F62" t="inlineStr">
        <is>
          <t>VÄSTRA GÖTALANDS LÄN</t>
        </is>
      </c>
      <c r="G62" t="inlineStr">
        <is>
          <t>FÄRGELANDA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46321</v>
      </c>
      <c r="F63" t="inlineStr">
        <is>
          <t>VÄSTRA GÖTALANDS LÄN</t>
        </is>
      </c>
      <c r="G63" t="inlineStr">
        <is>
          <t>FÄRGELANDA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46321</v>
      </c>
      <c r="F64" t="inlineStr">
        <is>
          <t>VÄSTRA GÖTALANDS LÄN</t>
        </is>
      </c>
      <c r="G64" t="inlineStr">
        <is>
          <t>FÄRGELANDA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45712</v>
      </c>
      <c r="E65" s="1" t="n">
        <v>46321</v>
      </c>
      <c r="F65" t="inlineStr">
        <is>
          <t>VÄSTRA GÖTALANDS LÄN</t>
        </is>
      </c>
      <c r="G65" t="inlineStr">
        <is>
          <t>FÄRGELANDA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46321</v>
      </c>
      <c r="F66" t="inlineStr">
        <is>
          <t>VÄSTRA GÖTALANDS LÄN</t>
        </is>
      </c>
      <c r="G66" t="inlineStr">
        <is>
          <t>FÄRGELANDA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46321</v>
      </c>
      <c r="F67" t="inlineStr">
        <is>
          <t>VÄSTRA GÖTALANDS LÄN</t>
        </is>
      </c>
      <c r="G67" t="inlineStr">
        <is>
          <t>FÄRGELANDA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23826-2026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46166</v>
      </c>
      <c r="E68" s="1" t="n">
        <v>46321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46321</v>
      </c>
      <c r="F69" t="inlineStr">
        <is>
          <t>VÄSTRA GÖTALANDS LÄN</t>
        </is>
      </c>
      <c r="G69" t="inlineStr">
        <is>
          <t>FÄRGELANDA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46321</v>
      </c>
      <c r="F70" t="inlineStr">
        <is>
          <t>VÄSTRA GÖTALANDS LÄN</t>
        </is>
      </c>
      <c r="G70" t="inlineStr">
        <is>
          <t>FÄRGELANDA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46321</v>
      </c>
      <c r="F71" t="inlineStr">
        <is>
          <t>VÄSTRA GÖTALANDS LÄN</t>
        </is>
      </c>
      <c r="G71" t="inlineStr">
        <is>
          <t>FÄRGELANDA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45558</v>
      </c>
      <c r="E72" s="1" t="n">
        <v>46321</v>
      </c>
      <c r="F72" t="inlineStr">
        <is>
          <t>VÄSTRA GÖTALANDS LÄN</t>
        </is>
      </c>
      <c r="G72" t="inlineStr">
        <is>
          <t>FÄRGELANDA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45558</v>
      </c>
      <c r="E73" s="1" t="n">
        <v>46321</v>
      </c>
      <c r="F73" t="inlineStr">
        <is>
          <t>VÄSTRA GÖTALANDS LÄN</t>
        </is>
      </c>
      <c r="G73" t="inlineStr">
        <is>
          <t>FÄRGELANDA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45418</v>
      </c>
      <c r="E74" s="1" t="n">
        <v>46321</v>
      </c>
      <c r="F74" t="inlineStr">
        <is>
          <t>VÄSTRA GÖTALANDS LÄN</t>
        </is>
      </c>
      <c r="G74" t="inlineStr">
        <is>
          <t>FÄRGELANDA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45036</v>
      </c>
      <c r="E75" s="1" t="n">
        <v>46321</v>
      </c>
      <c r="F75" t="inlineStr">
        <is>
          <t>VÄSTRA GÖTALANDS LÄN</t>
        </is>
      </c>
      <c r="G75" t="inlineStr">
        <is>
          <t>FÄRGELANDA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46321</v>
      </c>
      <c r="F76" t="inlineStr">
        <is>
          <t>VÄSTRA GÖTALANDS LÄN</t>
        </is>
      </c>
      <c r="G76" t="inlineStr">
        <is>
          <t>FÄRGELANDA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46321</v>
      </c>
      <c r="F77" t="inlineStr">
        <is>
          <t>VÄSTRA GÖTALANDS LÄN</t>
        </is>
      </c>
      <c r="G77" t="inlineStr">
        <is>
          <t>FÄRGELANDA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46321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46321</v>
      </c>
      <c r="F79" t="inlineStr">
        <is>
          <t>VÄSTRA GÖTALANDS LÄN</t>
        </is>
      </c>
      <c r="G79" t="inlineStr">
        <is>
          <t>FÄRGELANDA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46321</v>
      </c>
      <c r="F80" t="inlineStr">
        <is>
          <t>VÄSTRA GÖTALANDS LÄN</t>
        </is>
      </c>
      <c r="G80" t="inlineStr">
        <is>
          <t>FÄRGELANDA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46321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46177</v>
      </c>
      <c r="E82" s="1" t="n">
        <v>46321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45139</v>
      </c>
      <c r="E83" s="1" t="n">
        <v>46321</v>
      </c>
      <c r="F83" t="inlineStr">
        <is>
          <t>VÄSTRA GÖTALANDS LÄN</t>
        </is>
      </c>
      <c r="G83" t="inlineStr">
        <is>
          <t>FÄRGELANDA</t>
        </is>
      </c>
      <c r="I83" t="n">
        <v>9.6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46321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46321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46321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46321</v>
      </c>
      <c r="F87" t="inlineStr">
        <is>
          <t>VÄSTRA GÖTALANDS LÄN</t>
        </is>
      </c>
      <c r="G87" t="inlineStr">
        <is>
          <t>FÄRGELANDA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46321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46321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46321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46321</v>
      </c>
      <c r="F91" t="inlineStr">
        <is>
          <t>VÄSTRA GÖTALANDS LÄN</t>
        </is>
      </c>
      <c r="G91" t="inlineStr">
        <is>
          <t>FÄRGELANDA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46321</v>
      </c>
      <c r="F92" t="inlineStr">
        <is>
          <t>VÄSTRA GÖTALANDS LÄN</t>
        </is>
      </c>
      <c r="G92" t="inlineStr">
        <is>
          <t>FÄRGELANDA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45949</v>
      </c>
      <c r="E93" s="1" t="n">
        <v>46321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45761</v>
      </c>
      <c r="E94" s="1" t="n">
        <v>46321</v>
      </c>
      <c r="F94" t="inlineStr">
        <is>
          <t>VÄSTRA GÖTALANDS LÄN</t>
        </is>
      </c>
      <c r="G94" t="inlineStr">
        <is>
          <t>FÄRGELANDA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46321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46321</v>
      </c>
      <c r="F96" t="inlineStr">
        <is>
          <t>VÄSTRA GÖTALANDS LÄN</t>
        </is>
      </c>
      <c r="G96" t="inlineStr">
        <is>
          <t>FÄRGELANDA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46321</v>
      </c>
      <c r="F97" t="inlineStr">
        <is>
          <t>VÄSTRA GÖTALANDS LÄN</t>
        </is>
      </c>
      <c r="G97" t="inlineStr">
        <is>
          <t>FÄRGELANDA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46321</v>
      </c>
      <c r="F98" t="inlineStr">
        <is>
          <t>VÄSTRA GÖTALANDS LÄN</t>
        </is>
      </c>
      <c r="G98" t="inlineStr">
        <is>
          <t>FÄRGELANDA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46321</v>
      </c>
      <c r="F99" t="inlineStr">
        <is>
          <t>VÄSTRA GÖTALANDS LÄN</t>
        </is>
      </c>
      <c r="G99" t="inlineStr">
        <is>
          <t>FÄRGELANDA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46188</v>
      </c>
      <c r="E100" s="1" t="n">
        <v>46321</v>
      </c>
      <c r="F100" t="inlineStr">
        <is>
          <t>VÄSTRA GÖTALANDS LÄN</t>
        </is>
      </c>
      <c r="G100" t="inlineStr">
        <is>
          <t>FÄRGELANDA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46321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46321</v>
      </c>
      <c r="F102" t="inlineStr">
        <is>
          <t>VÄSTRA GÖTALANDS LÄN</t>
        </is>
      </c>
      <c r="G102" t="inlineStr">
        <is>
          <t>FÄRGELANDA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46321</v>
      </c>
      <c r="F103" t="inlineStr">
        <is>
          <t>VÄSTRA GÖTALANDS LÄN</t>
        </is>
      </c>
      <c r="G103" t="inlineStr">
        <is>
          <t>FÄRGELANDA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46321</v>
      </c>
      <c r="F104" t="inlineStr">
        <is>
          <t>VÄSTRA GÖTALANDS LÄN</t>
        </is>
      </c>
      <c r="G104" t="inlineStr">
        <is>
          <t>FÄRGELANDA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46321</v>
      </c>
      <c r="F105" t="inlineStr">
        <is>
          <t>VÄSTRA GÖTALANDS LÄN</t>
        </is>
      </c>
      <c r="G105" t="inlineStr">
        <is>
          <t>FÄRGELANDA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46321</v>
      </c>
      <c r="F106" t="inlineStr">
        <is>
          <t>VÄSTRA GÖTALANDS LÄN</t>
        </is>
      </c>
      <c r="G106" t="inlineStr">
        <is>
          <t>FÄRGELANDA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55299-2025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45969</v>
      </c>
      <c r="E107" s="1" t="n">
        <v>46321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45969</v>
      </c>
      <c r="E108" s="1" t="n">
        <v>46321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46321</v>
      </c>
      <c r="F109" t="inlineStr">
        <is>
          <t>VÄSTRA GÖTALANDS LÄN</t>
        </is>
      </c>
      <c r="G109" t="inlineStr">
        <is>
          <t>FÄRGELANDA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46321</v>
      </c>
      <c r="F110" t="inlineStr">
        <is>
          <t>VÄSTRA GÖTALANDS LÄN</t>
        </is>
      </c>
      <c r="G110" t="inlineStr">
        <is>
          <t>FÄRGELANDA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46321</v>
      </c>
      <c r="F111" t="inlineStr">
        <is>
          <t>VÄSTRA GÖTALANDS LÄN</t>
        </is>
      </c>
      <c r="G111" t="inlineStr">
        <is>
          <t>FÄRGELANDA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46321</v>
      </c>
      <c r="F112" t="inlineStr">
        <is>
          <t>VÄSTRA GÖTALANDS LÄN</t>
        </is>
      </c>
      <c r="G112" t="inlineStr">
        <is>
          <t>FÄRGELANDA</t>
        </is>
      </c>
      <c r="H112" t="inlineStr">
        <is>
          <t>Övriga Aktiebolag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46321</v>
      </c>
      <c r="F113" t="inlineStr">
        <is>
          <t>VÄSTRA GÖTALANDS LÄN</t>
        </is>
      </c>
      <c r="G113" t="inlineStr">
        <is>
          <t>FÄRGELANDA</t>
        </is>
      </c>
      <c r="H113" t="inlineStr">
        <is>
          <t>Övriga Aktiebolag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46321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44846-2024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45574</v>
      </c>
      <c r="E115" s="1" t="n">
        <v>46321</v>
      </c>
      <c r="F115" t="inlineStr">
        <is>
          <t>VÄSTRA GÖTALANDS LÄN</t>
        </is>
      </c>
      <c r="G115" t="inlineStr">
        <is>
          <t>FÄRGELANDA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44777</v>
      </c>
      <c r="E116" s="1" t="n">
        <v>46321</v>
      </c>
      <c r="F116" t="inlineStr">
        <is>
          <t>VÄSTRA GÖTALANDS LÄN</t>
        </is>
      </c>
      <c r="G116" t="inlineStr">
        <is>
          <t>FÄRGELANDA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46321</v>
      </c>
      <c r="F117" t="inlineStr">
        <is>
          <t>VÄSTRA GÖTALANDS LÄN</t>
        </is>
      </c>
      <c r="G117" t="inlineStr">
        <is>
          <t>FÄRGELANDA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46321</v>
      </c>
      <c r="F118" t="inlineStr">
        <is>
          <t>VÄSTRA GÖTALANDS LÄN</t>
        </is>
      </c>
      <c r="G118" t="inlineStr">
        <is>
          <t>FÄRGELANDA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46321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46321</v>
      </c>
      <c r="F120" t="inlineStr">
        <is>
          <t>VÄSTRA GÖTALANDS LÄN</t>
        </is>
      </c>
      <c r="G120" t="inlineStr">
        <is>
          <t>FÄRGELANDA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46204</v>
      </c>
      <c r="E121" s="1" t="n">
        <v>46321</v>
      </c>
      <c r="F121" t="inlineStr">
        <is>
          <t>VÄSTRA GÖTALANDS LÄN</t>
        </is>
      </c>
      <c r="G121" t="inlineStr">
        <is>
          <t>FÄRGELANDA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46321</v>
      </c>
      <c r="F122" t="inlineStr">
        <is>
          <t>VÄSTRA GÖTALANDS LÄN</t>
        </is>
      </c>
      <c r="G122" t="inlineStr">
        <is>
          <t>FÄRGELANDA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46321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46321</v>
      </c>
      <c r="F124" t="inlineStr">
        <is>
          <t>VÄSTRA GÖTALANDS LÄN</t>
        </is>
      </c>
      <c r="G124" t="inlineStr">
        <is>
          <t>FÄRGELANDA</t>
        </is>
      </c>
      <c r="H124" t="inlineStr">
        <is>
          <t>Kommuner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46321</v>
      </c>
      <c r="F125" t="inlineStr">
        <is>
          <t>VÄSTRA GÖTALANDS LÄN</t>
        </is>
      </c>
      <c r="G125" t="inlineStr">
        <is>
          <t>FÄRGELANDA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72655-2021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44546</v>
      </c>
      <c r="E126" s="1" t="n">
        <v>46321</v>
      </c>
      <c r="F126" t="inlineStr">
        <is>
          <t>VÄSTRA GÖTALANDS LÄN</t>
        </is>
      </c>
      <c r="G126" t="inlineStr">
        <is>
          <t>FÄRGELANDA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45987</v>
      </c>
      <c r="E127" s="1" t="n">
        <v>46321</v>
      </c>
      <c r="F127" t="inlineStr">
        <is>
          <t>VÄSTRA GÖTALANDS LÄN</t>
        </is>
      </c>
      <c r="G127" t="inlineStr">
        <is>
          <t>FÄRGELANDA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46321</v>
      </c>
      <c r="F128" t="inlineStr">
        <is>
          <t>VÄSTRA GÖTALANDS LÄN</t>
        </is>
      </c>
      <c r="G128" t="inlineStr">
        <is>
          <t>FÄRGELANDA</t>
        </is>
      </c>
      <c r="H128" t="inlineStr">
        <is>
          <t>Övriga Aktiebolag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46321</v>
      </c>
      <c r="F129" t="inlineStr">
        <is>
          <t>VÄSTRA GÖTALANDS LÄN</t>
        </is>
      </c>
      <c r="G129" t="inlineStr">
        <is>
          <t>FÄRGELANDA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45687</v>
      </c>
      <c r="E130" s="1" t="n">
        <v>46321</v>
      </c>
      <c r="F130" t="inlineStr">
        <is>
          <t>VÄSTRA GÖTALANDS LÄN</t>
        </is>
      </c>
      <c r="G130" t="inlineStr">
        <is>
          <t>FÄRGELANDA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46321</v>
      </c>
      <c r="F131" t="inlineStr">
        <is>
          <t>VÄSTRA GÖTALANDS LÄN</t>
        </is>
      </c>
      <c r="G131" t="inlineStr">
        <is>
          <t>FÄRGELANDA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46321</v>
      </c>
      <c r="F132" t="inlineStr">
        <is>
          <t>VÄSTRA GÖTALANDS LÄN</t>
        </is>
      </c>
      <c r="G132" t="inlineStr">
        <is>
          <t>FÄRGELANDA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46321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46321</v>
      </c>
      <c r="F134" t="inlineStr">
        <is>
          <t>VÄSTRA GÖTALANDS LÄN</t>
        </is>
      </c>
      <c r="G134" t="inlineStr">
        <is>
          <t>FÄRGELANDA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46139</v>
      </c>
      <c r="E135" s="1" t="n">
        <v>46321</v>
      </c>
      <c r="F135" t="inlineStr">
        <is>
          <t>VÄSTRA GÖTALANDS LÄN</t>
        </is>
      </c>
      <c r="G135" t="inlineStr">
        <is>
          <t>FÄRGELANDA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46321</v>
      </c>
      <c r="F136" t="inlineStr">
        <is>
          <t>VÄSTRA GÖTALANDS LÄN</t>
        </is>
      </c>
      <c r="G136" t="inlineStr">
        <is>
          <t>FÄRGELANDA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46321</v>
      </c>
      <c r="F137" t="inlineStr">
        <is>
          <t>VÄSTRA GÖTALANDS LÄN</t>
        </is>
      </c>
      <c r="G137" t="inlineStr">
        <is>
          <t>FÄRGELANDA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45987</v>
      </c>
      <c r="E138" s="1" t="n">
        <v>46321</v>
      </c>
      <c r="F138" t="inlineStr">
        <is>
          <t>VÄSTRA GÖTALANDS LÄN</t>
        </is>
      </c>
      <c r="G138" t="inlineStr">
        <is>
          <t>FÄRGELANDA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45777</v>
      </c>
      <c r="E139" s="1" t="n">
        <v>46321</v>
      </c>
      <c r="F139" t="inlineStr">
        <is>
          <t>VÄSTRA GÖTALANDS LÄN</t>
        </is>
      </c>
      <c r="G139" t="inlineStr">
        <is>
          <t>FÄRGELANDA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46321</v>
      </c>
      <c r="F140" t="inlineStr">
        <is>
          <t>VÄSTRA GÖTALANDS LÄN</t>
        </is>
      </c>
      <c r="G140" t="inlineStr">
        <is>
          <t>FÄRGELANDA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45033</v>
      </c>
      <c r="E141" s="1" t="n">
        <v>46321</v>
      </c>
      <c r="F141" t="inlineStr">
        <is>
          <t>VÄSTRA GÖTALANDS LÄN</t>
        </is>
      </c>
      <c r="G141" t="inlineStr">
        <is>
          <t>FÄRGELANDA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46007</v>
      </c>
      <c r="E142" s="1" t="n">
        <v>46321</v>
      </c>
      <c r="F142" t="inlineStr">
        <is>
          <t>VÄSTRA GÖTALANDS LÄN</t>
        </is>
      </c>
      <c r="G142" t="inlineStr">
        <is>
          <t>FÄRGELANDA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22679-2026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46156</v>
      </c>
      <c r="E143" s="1" t="n">
        <v>46321</v>
      </c>
      <c r="F143" t="inlineStr">
        <is>
          <t>VÄSTRA GÖTALANDS LÄN</t>
        </is>
      </c>
      <c r="G143" t="inlineStr">
        <is>
          <t>FÄRGELANDA</t>
        </is>
      </c>
      <c r="I143" t="n">
        <v>20.6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46321</v>
      </c>
      <c r="F144" t="inlineStr">
        <is>
          <t>VÄSTRA GÖTALANDS LÄN</t>
        </is>
      </c>
      <c r="G144" t="inlineStr">
        <is>
          <t>FÄRGELANDA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45338</v>
      </c>
      <c r="E145" s="1" t="n">
        <v>46321</v>
      </c>
      <c r="F145" t="inlineStr">
        <is>
          <t>VÄSTRA GÖTALANDS LÄN</t>
        </is>
      </c>
      <c r="G145" t="inlineStr">
        <is>
          <t>FÄRGELANDA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46321</v>
      </c>
      <c r="F146" t="inlineStr">
        <is>
          <t>VÄSTRA GÖTALANDS LÄN</t>
        </is>
      </c>
      <c r="G146" t="inlineStr">
        <is>
          <t>FÄRGELANDA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46321</v>
      </c>
      <c r="F147" t="inlineStr">
        <is>
          <t>VÄSTRA GÖTALANDS LÄN</t>
        </is>
      </c>
      <c r="G147" t="inlineStr">
        <is>
          <t>FÄRGELANDA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46321</v>
      </c>
      <c r="F148" t="inlineStr">
        <is>
          <t>VÄSTRA GÖTALANDS LÄN</t>
        </is>
      </c>
      <c r="G148" t="inlineStr">
        <is>
          <t>FÄRGELANDA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46321</v>
      </c>
      <c r="F149" t="inlineStr">
        <is>
          <t>VÄSTRA GÖTALANDS LÄN</t>
        </is>
      </c>
      <c r="G149" t="inlineStr">
        <is>
          <t>FÄRGELANDA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46281</v>
      </c>
      <c r="E150" s="1" t="n">
        <v>46321</v>
      </c>
      <c r="F150" t="inlineStr">
        <is>
          <t>VÄSTRA GÖTALANDS LÄN</t>
        </is>
      </c>
      <c r="G150" t="inlineStr">
        <is>
          <t>FÄRGELANDA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46321</v>
      </c>
      <c r="F151" t="inlineStr">
        <is>
          <t>VÄSTRA GÖTALANDS LÄN</t>
        </is>
      </c>
      <c r="G151" t="inlineStr">
        <is>
          <t>FÄRGELANDA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46321</v>
      </c>
      <c r="F152" t="inlineStr">
        <is>
          <t>VÄSTRA GÖTALANDS LÄN</t>
        </is>
      </c>
      <c r="G152" t="inlineStr">
        <is>
          <t>FÄRGELANDA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46321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8574-2024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45355</v>
      </c>
      <c r="E154" s="1" t="n">
        <v>46321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46321</v>
      </c>
      <c r="F155" t="inlineStr">
        <is>
          <t>VÄSTRA GÖTALANDS LÄN</t>
        </is>
      </c>
      <c r="G155" t="inlineStr">
        <is>
          <t>FÄRGELANDA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46321</v>
      </c>
      <c r="F156" t="inlineStr">
        <is>
          <t>VÄSTRA GÖTALANDS LÄN</t>
        </is>
      </c>
      <c r="G156" t="inlineStr">
        <is>
          <t>FÄRGELANDA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46321</v>
      </c>
      <c r="F157" t="inlineStr">
        <is>
          <t>VÄSTRA GÖTALANDS LÄN</t>
        </is>
      </c>
      <c r="G157" t="inlineStr">
        <is>
          <t>FÄRGELANDA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46321</v>
      </c>
      <c r="F158" t="inlineStr">
        <is>
          <t>VÄSTRA GÖTALANDS LÄN</t>
        </is>
      </c>
      <c r="G158" t="inlineStr">
        <is>
          <t>FÄRGELANDA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46321</v>
      </c>
      <c r="F159" t="inlineStr">
        <is>
          <t>VÄSTRA GÖTALANDS LÄN</t>
        </is>
      </c>
      <c r="G159" t="inlineStr">
        <is>
          <t>FÄRGELANDA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46321</v>
      </c>
      <c r="F160" t="inlineStr">
        <is>
          <t>VÄSTRA GÖTALANDS LÄN</t>
        </is>
      </c>
      <c r="G160" t="inlineStr">
        <is>
          <t>FÄRGELANDA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46321</v>
      </c>
      <c r="F161" t="inlineStr">
        <is>
          <t>VÄSTRA GÖTALANDS LÄN</t>
        </is>
      </c>
      <c r="G161" t="inlineStr">
        <is>
          <t>FÄRGELANDA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46321</v>
      </c>
      <c r="F162" t="inlineStr">
        <is>
          <t>VÄSTRA GÖTALANDS LÄN</t>
        </is>
      </c>
      <c r="G162" t="inlineStr">
        <is>
          <t>FÄRGELANDA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45598</v>
      </c>
      <c r="E163" s="1" t="n">
        <v>46321</v>
      </c>
      <c r="F163" t="inlineStr">
        <is>
          <t>VÄSTRA GÖTALANDS LÄN</t>
        </is>
      </c>
      <c r="G163" t="inlineStr">
        <is>
          <t>FÄRGELANDA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46321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46321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46321</v>
      </c>
      <c r="F166" t="inlineStr">
        <is>
          <t>VÄSTRA GÖTALANDS LÄN</t>
        </is>
      </c>
      <c r="G166" t="inlineStr">
        <is>
          <t>FÄRGELANDA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46248</v>
      </c>
      <c r="E167" s="1" t="n">
        <v>46321</v>
      </c>
      <c r="F167" t="inlineStr">
        <is>
          <t>VÄSTRA GÖTALANDS LÄN</t>
        </is>
      </c>
      <c r="G167" t="inlineStr">
        <is>
          <t>FÄRGELANDA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46321</v>
      </c>
      <c r="F168" t="inlineStr">
        <is>
          <t>VÄSTRA GÖTALANDS LÄN</t>
        </is>
      </c>
      <c r="G168" t="inlineStr">
        <is>
          <t>FÄRGELANDA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46321</v>
      </c>
      <c r="F169" t="inlineStr">
        <is>
          <t>VÄSTRA GÖTALANDS LÄN</t>
        </is>
      </c>
      <c r="G169" t="inlineStr">
        <is>
          <t>FÄRGELANDA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46248</v>
      </c>
      <c r="E170" s="1" t="n">
        <v>46321</v>
      </c>
      <c r="F170" t="inlineStr">
        <is>
          <t>VÄSTRA GÖTALANDS LÄN</t>
        </is>
      </c>
      <c r="G170" t="inlineStr">
        <is>
          <t>FÄRGELANDA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46321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46321</v>
      </c>
      <c r="F172" t="inlineStr">
        <is>
          <t>VÄSTRA GÖTALANDS LÄN</t>
        </is>
      </c>
      <c r="G172" t="inlineStr">
        <is>
          <t>FÄRGELANDA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45815</v>
      </c>
      <c r="E173" s="1" t="n">
        <v>46321</v>
      </c>
      <c r="F173" t="inlineStr">
        <is>
          <t>VÄSTRA GÖTALANDS LÄN</t>
        </is>
      </c>
      <c r="G173" t="inlineStr">
        <is>
          <t>FÄRGELANDA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46321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Kommuner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46321</v>
      </c>
      <c r="F175" t="inlineStr">
        <is>
          <t>VÄSTRA GÖTALANDS LÄN</t>
        </is>
      </c>
      <c r="G175" t="inlineStr">
        <is>
          <t>FÄRGELANDA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46321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Kyrkan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46321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46321</v>
      </c>
      <c r="F178" t="inlineStr">
        <is>
          <t>VÄSTRA GÖTALANDS LÄN</t>
        </is>
      </c>
      <c r="G178" t="inlineStr">
        <is>
          <t>FÄRGELANDA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46321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Övriga Aktiebolag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46321</v>
      </c>
      <c r="F180" t="inlineStr">
        <is>
          <t>VÄSTRA GÖTALANDS LÄN</t>
        </is>
      </c>
      <c r="G180" t="inlineStr">
        <is>
          <t>FÄRGELANDA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46080</v>
      </c>
      <c r="E181" s="1" t="n">
        <v>46321</v>
      </c>
      <c r="F181" t="inlineStr">
        <is>
          <t>VÄSTRA GÖTALANDS LÄN</t>
        </is>
      </c>
      <c r="G181" t="inlineStr">
        <is>
          <t>FÄRGELANDA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46321</v>
      </c>
      <c r="F182" t="inlineStr">
        <is>
          <t>VÄSTRA GÖTALANDS LÄN</t>
        </is>
      </c>
      <c r="G182" t="inlineStr">
        <is>
          <t>FÄRGELANDA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46321</v>
      </c>
      <c r="F183" t="inlineStr">
        <is>
          <t>VÄSTRA GÖTALANDS LÄN</t>
        </is>
      </c>
      <c r="G183" t="inlineStr">
        <is>
          <t>FÄRGELANDA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46321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46321</v>
      </c>
      <c r="F185" t="inlineStr">
        <is>
          <t>VÄSTRA GÖTALANDS LÄN</t>
        </is>
      </c>
      <c r="G185" t="inlineStr">
        <is>
          <t>FÄRGELANDA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46321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46087</v>
      </c>
      <c r="E187" s="1" t="n">
        <v>46321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68285-2021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44526</v>
      </c>
      <c r="E188" s="1" t="n">
        <v>46321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46297</v>
      </c>
      <c r="E189" s="1" t="n">
        <v>46321</v>
      </c>
      <c r="F189" t="inlineStr">
        <is>
          <t>VÄSTRA GÖTALANDS LÄN</t>
        </is>
      </c>
      <c r="G189" t="inlineStr">
        <is>
          <t>FÄRGELANDA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46321</v>
      </c>
      <c r="F190" t="inlineStr">
        <is>
          <t>VÄSTRA GÖTALANDS LÄN</t>
        </is>
      </c>
      <c r="G190" t="inlineStr">
        <is>
          <t>FÄRGELANDA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46321</v>
      </c>
      <c r="F191" t="inlineStr">
        <is>
          <t>VÄSTRA GÖTALANDS LÄN</t>
        </is>
      </c>
      <c r="G191" t="inlineStr">
        <is>
          <t>FÄRGELANDA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46321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46321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46297</v>
      </c>
      <c r="E194" s="1" t="n">
        <v>46321</v>
      </c>
      <c r="F194" t="inlineStr">
        <is>
          <t>VÄSTRA GÖTALANDS LÄN</t>
        </is>
      </c>
      <c r="G194" t="inlineStr">
        <is>
          <t>FÄRGELANDA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46297</v>
      </c>
      <c r="E195" s="1" t="n">
        <v>46321</v>
      </c>
      <c r="F195" t="inlineStr">
        <is>
          <t>VÄSTRA GÖTALANDS LÄN</t>
        </is>
      </c>
      <c r="G195" t="inlineStr">
        <is>
          <t>FÄRGELANDA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46321</v>
      </c>
      <c r="F196" t="inlineStr">
        <is>
          <t>VÄSTRA GÖTALANDS LÄN</t>
        </is>
      </c>
      <c r="G196" t="inlineStr">
        <is>
          <t>FÄRGELANDA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46321</v>
      </c>
      <c r="F197" t="inlineStr">
        <is>
          <t>VÄSTRA GÖTALANDS LÄN</t>
        </is>
      </c>
      <c r="G197" t="inlineStr">
        <is>
          <t>FÄRGELANDA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46321</v>
      </c>
      <c r="F198" t="inlineStr">
        <is>
          <t>VÄSTRA GÖTALANDS LÄN</t>
        </is>
      </c>
      <c r="G198" t="inlineStr">
        <is>
          <t>FÄRGELANDA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14662-2026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46321</v>
      </c>
      <c r="F199" t="inlineStr">
        <is>
          <t>VÄSTRA GÖTALANDS LÄN</t>
        </is>
      </c>
      <c r="G199" t="inlineStr">
        <is>
          <t>FÄRGELANDA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46321</v>
      </c>
      <c r="F200" t="inlineStr">
        <is>
          <t>VÄSTRA GÖTALANDS LÄN</t>
        </is>
      </c>
      <c r="G200" t="inlineStr">
        <is>
          <t>FÄRGELANDA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46321</v>
      </c>
      <c r="F201" t="inlineStr">
        <is>
          <t>VÄSTRA GÖTALANDS LÄN</t>
        </is>
      </c>
      <c r="G201" t="inlineStr">
        <is>
          <t>FÄRGELANDA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46259</v>
      </c>
      <c r="E202" s="1" t="n">
        <v>46321</v>
      </c>
      <c r="F202" t="inlineStr">
        <is>
          <t>VÄSTRA GÖTALANDS LÄN</t>
        </is>
      </c>
      <c r="G202" t="inlineStr">
        <is>
          <t>FÄRGELANDA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46321</v>
      </c>
      <c r="F203" t="inlineStr">
        <is>
          <t>VÄSTRA GÖTALANDS LÄN</t>
        </is>
      </c>
      <c r="G203" t="inlineStr">
        <is>
          <t>FÄRGELANDA</t>
        </is>
      </c>
      <c r="I203" t="n">
        <v>13.9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46321</v>
      </c>
      <c r="F204" t="inlineStr">
        <is>
          <t>VÄSTRA GÖTALANDS LÄN</t>
        </is>
      </c>
      <c r="G204" t="inlineStr">
        <is>
          <t>FÄRGELANDA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46321</v>
      </c>
      <c r="F205" t="inlineStr">
        <is>
          <t>VÄSTRA GÖTALANDS LÄN</t>
        </is>
      </c>
      <c r="G205" t="inlineStr">
        <is>
          <t>FÄRGELANDA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46321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46321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46321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46321</v>
      </c>
      <c r="F209" t="inlineStr">
        <is>
          <t>VÄSTRA GÖTALANDS LÄN</t>
        </is>
      </c>
      <c r="G209" t="inlineStr">
        <is>
          <t>FÄRGELANDA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46321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Övriga Aktiebolag</t>
        </is>
      </c>
      <c r="I210" t="n">
        <v>12.5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46321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46321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46321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Kommuner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46124</v>
      </c>
      <c r="E214" s="1" t="n">
        <v>46321</v>
      </c>
      <c r="F214" t="inlineStr">
        <is>
          <t>VÄSTRA GÖTALANDS LÄN</t>
        </is>
      </c>
      <c r="G214" t="inlineStr">
        <is>
          <t>FÄRGELANDA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46321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46321</v>
      </c>
      <c r="F216" t="inlineStr">
        <is>
          <t>VÄSTRA GÖTALANDS LÄN</t>
        </is>
      </c>
      <c r="G216" t="inlineStr">
        <is>
          <t>FÄRGELANDA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46321</v>
      </c>
      <c r="F217" t="inlineStr">
        <is>
          <t>VÄSTRA GÖTALANDS LÄN</t>
        </is>
      </c>
      <c r="G217" t="inlineStr">
        <is>
          <t>FÄRGELANDA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46308</v>
      </c>
      <c r="E218" s="1" t="n">
        <v>46321</v>
      </c>
      <c r="F218" t="inlineStr">
        <is>
          <t>VÄSTRA GÖTALANDS LÄN</t>
        </is>
      </c>
      <c r="G218" t="inlineStr">
        <is>
          <t>FÄRGELANDA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46262</v>
      </c>
      <c r="E219" s="1" t="n">
        <v>46321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45452</v>
      </c>
      <c r="E220" s="1" t="n">
        <v>46321</v>
      </c>
      <c r="F220" t="inlineStr">
        <is>
          <t>VÄSTRA GÖTALANDS LÄN</t>
        </is>
      </c>
      <c r="G220" t="inlineStr">
        <is>
          <t>FÄRGELANDA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46321</v>
      </c>
      <c r="F221" t="inlineStr">
        <is>
          <t>VÄSTRA GÖTALANDS LÄN</t>
        </is>
      </c>
      <c r="G221" t="inlineStr">
        <is>
          <t>FÄRGELANDA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44899</v>
      </c>
      <c r="E222" s="1" t="n">
        <v>46321</v>
      </c>
      <c r="F222" t="inlineStr">
        <is>
          <t>VÄSTRA GÖTALANDS LÄN</t>
        </is>
      </c>
      <c r="G222" t="inlineStr">
        <is>
          <t>FÄRGELANDA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44899</v>
      </c>
      <c r="E223" s="1" t="n">
        <v>46321</v>
      </c>
      <c r="F223" t="inlineStr">
        <is>
          <t>VÄSTRA GÖTALANDS LÄN</t>
        </is>
      </c>
      <c r="G223" t="inlineStr">
        <is>
          <t>FÄRGELANDA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46321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46321</v>
      </c>
      <c r="F225" t="inlineStr">
        <is>
          <t>VÄSTRA GÖTALANDS LÄN</t>
        </is>
      </c>
      <c r="G225" t="inlineStr">
        <is>
          <t>FÄRGELANDA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46321</v>
      </c>
      <c r="F226" t="inlineStr">
        <is>
          <t>VÄSTRA GÖTALANDS LÄN</t>
        </is>
      </c>
      <c r="G226" t="inlineStr">
        <is>
          <t>FÄRGELANDA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45481</v>
      </c>
      <c r="E227" s="1" t="n">
        <v>46321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46321</v>
      </c>
      <c r="F228" t="inlineStr">
        <is>
          <t>VÄSTRA GÖTALANDS LÄN</t>
        </is>
      </c>
      <c r="G228" t="inlineStr">
        <is>
          <t>FÄRGELANDA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46321</v>
      </c>
      <c r="F229" t="inlineStr">
        <is>
          <t>VÄSTRA GÖTALANDS LÄN</t>
        </is>
      </c>
      <c r="G229" t="inlineStr">
        <is>
          <t>FÄRGELANDA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46321</v>
      </c>
      <c r="F230" t="inlineStr">
        <is>
          <t>VÄSTRA GÖTALANDS LÄN</t>
        </is>
      </c>
      <c r="G230" t="inlineStr">
        <is>
          <t>FÄRGELANDA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71963-2021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44544</v>
      </c>
      <c r="E231" s="1" t="n">
        <v>46321</v>
      </c>
      <c r="F231" t="inlineStr">
        <is>
          <t>VÄSTRA GÖTALANDS LÄN</t>
        </is>
      </c>
      <c r="G231" t="inlineStr">
        <is>
          <t>FÄRGELANDA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46321</v>
      </c>
      <c r="F232" t="inlineStr">
        <is>
          <t>VÄSTRA GÖTALANDS LÄN</t>
        </is>
      </c>
      <c r="G232" t="inlineStr">
        <is>
          <t>FÄRGELANDA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46321</v>
      </c>
      <c r="F233" t="inlineStr">
        <is>
          <t>VÄSTRA GÖTALANDS LÄN</t>
        </is>
      </c>
      <c r="G233" t="inlineStr">
        <is>
          <t>FÄRGELANDA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46311</v>
      </c>
      <c r="E234" s="1" t="n">
        <v>46321</v>
      </c>
      <c r="F234" t="inlineStr">
        <is>
          <t>VÄSTRA GÖTALANDS LÄN</t>
        </is>
      </c>
      <c r="G234" t="inlineStr">
        <is>
          <t>FÄRGELANDA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46321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44939</v>
      </c>
      <c r="E236" s="1" t="n">
        <v>46321</v>
      </c>
      <c r="F236" t="inlineStr">
        <is>
          <t>VÄSTRA GÖTALANDS LÄN</t>
        </is>
      </c>
      <c r="G236" t="inlineStr">
        <is>
          <t>FÄRGELANDA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46321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46321</v>
      </c>
      <c r="F238" t="inlineStr">
        <is>
          <t>VÄSTRA GÖTALANDS LÄN</t>
        </is>
      </c>
      <c r="G238" t="inlineStr">
        <is>
          <t>FÄRGELANDA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46321</v>
      </c>
      <c r="F239" t="inlineStr">
        <is>
          <t>VÄSTRA GÖTALANDS LÄN</t>
        </is>
      </c>
      <c r="G239" t="inlineStr">
        <is>
          <t>FÄRGELANDA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46321</v>
      </c>
      <c r="F240" t="inlineStr">
        <is>
          <t>VÄSTRA GÖTALANDS LÄN</t>
        </is>
      </c>
      <c r="G240" t="inlineStr">
        <is>
          <t>FÄRGELANDA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45478</v>
      </c>
      <c r="E241" s="1" t="n">
        <v>46321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46321</v>
      </c>
      <c r="F242" t="inlineStr">
        <is>
          <t>VÄSTRA GÖTALANDS LÄN</t>
        </is>
      </c>
      <c r="G242" t="inlineStr">
        <is>
          <t>FÄRGELANDA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46321</v>
      </c>
      <c r="F243" t="inlineStr">
        <is>
          <t>VÄSTRA GÖTALANDS LÄN</t>
        </is>
      </c>
      <c r="G243" t="inlineStr">
        <is>
          <t>FÄRGELANDA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46321</v>
      </c>
      <c r="F244" t="inlineStr">
        <is>
          <t>VÄSTRA GÖTALANDS LÄN</t>
        </is>
      </c>
      <c r="G244" t="inlineStr">
        <is>
          <t>FÄRGELANDA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46321</v>
      </c>
      <c r="F245" t="inlineStr">
        <is>
          <t>VÄSTRA GÖTALANDS LÄN</t>
        </is>
      </c>
      <c r="G245" t="inlineStr">
        <is>
          <t>FÄRGELANDA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46321</v>
      </c>
      <c r="F246" t="inlineStr">
        <is>
          <t>VÄSTRA GÖTALANDS LÄN</t>
        </is>
      </c>
      <c r="G246" t="inlineStr">
        <is>
          <t>FÄRGELANDA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44578</v>
      </c>
      <c r="E247" s="1" t="n">
        <v>46321</v>
      </c>
      <c r="F247" t="inlineStr">
        <is>
          <t>VÄSTRA GÖTALANDS LÄN</t>
        </is>
      </c>
      <c r="G247" t="inlineStr">
        <is>
          <t>FÄRGELANDA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46321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46321</v>
      </c>
      <c r="F249" t="inlineStr">
        <is>
          <t>VÄSTRA GÖTALANDS LÄN</t>
        </is>
      </c>
      <c r="G249" t="inlineStr">
        <is>
          <t>FÄRGELANDA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46316</v>
      </c>
      <c r="E250" s="1" t="n">
        <v>46321</v>
      </c>
      <c r="F250" t="inlineStr">
        <is>
          <t>VÄSTRA GÖTALANDS LÄN</t>
        </is>
      </c>
      <c r="G250" t="inlineStr">
        <is>
          <t>FÄRGELANDA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46321</v>
      </c>
      <c r="F251" t="inlineStr">
        <is>
          <t>VÄSTRA GÖTALANDS LÄN</t>
        </is>
      </c>
      <c r="G251" t="inlineStr">
        <is>
          <t>FÄRGELANDA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43776-2026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46316</v>
      </c>
      <c r="E252" s="1" t="n">
        <v>46321</v>
      </c>
      <c r="F252" t="inlineStr">
        <is>
          <t>VÄSTRA GÖTALANDS LÄN</t>
        </is>
      </c>
      <c r="G252" t="inlineStr">
        <is>
          <t>FÄRGELANDA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46321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46321</v>
      </c>
      <c r="F254" t="inlineStr">
        <is>
          <t>VÄSTRA GÖTALANDS LÄN</t>
        </is>
      </c>
      <c r="G254" t="inlineStr">
        <is>
          <t>FÄRGELANDA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46321</v>
      </c>
      <c r="F255" t="inlineStr">
        <is>
          <t>VÄSTRA GÖTALANDS LÄN</t>
        </is>
      </c>
      <c r="G255" t="inlineStr">
        <is>
          <t>FÄRGELANDA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46321</v>
      </c>
      <c r="F256" t="inlineStr">
        <is>
          <t>VÄSTRA GÖTALANDS LÄN</t>
        </is>
      </c>
      <c r="G256" t="inlineStr">
        <is>
          <t>FÄRGELANDA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44638</v>
      </c>
      <c r="E257" s="1" t="n">
        <v>46321</v>
      </c>
      <c r="F257" t="inlineStr">
        <is>
          <t>VÄSTRA GÖTALANDS LÄN</t>
        </is>
      </c>
      <c r="G257" t="inlineStr">
        <is>
          <t>FÄRGELANDA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46321</v>
      </c>
      <c r="F258" t="inlineStr">
        <is>
          <t>VÄSTRA GÖTALANDS LÄN</t>
        </is>
      </c>
      <c r="G258" t="inlineStr">
        <is>
          <t>FÄRGELANDA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46321</v>
      </c>
      <c r="F259" t="inlineStr">
        <is>
          <t>VÄSTRA GÖTALANDS LÄN</t>
        </is>
      </c>
      <c r="G259" t="inlineStr">
        <is>
          <t>FÄRGELANDA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46321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46321</v>
      </c>
      <c r="F261" t="inlineStr">
        <is>
          <t>VÄSTRA GÖTALANDS LÄN</t>
        </is>
      </c>
      <c r="G261" t="inlineStr">
        <is>
          <t>FÄRGELANDA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46321</v>
      </c>
      <c r="F262" t="inlineStr">
        <is>
          <t>VÄSTRA GÖTALANDS LÄN</t>
        </is>
      </c>
      <c r="G262" t="inlineStr">
        <is>
          <t>FÄRGELANDA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46321</v>
      </c>
      <c r="F263" t="inlineStr">
        <is>
          <t>VÄSTRA GÖTALANDS LÄN</t>
        </is>
      </c>
      <c r="G263" t="inlineStr">
        <is>
          <t>FÄRGELANDA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44998</v>
      </c>
      <c r="E264" s="1" t="n">
        <v>46321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46321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46321</v>
      </c>
      <c r="F266" t="inlineStr">
        <is>
          <t>VÄSTRA GÖTALANDS LÄN</t>
        </is>
      </c>
      <c r="G266" t="inlineStr">
        <is>
          <t>FÄRGELANDA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46321</v>
      </c>
      <c r="F267" t="inlineStr">
        <is>
          <t>VÄSTRA GÖTALANDS LÄN</t>
        </is>
      </c>
      <c r="G267" t="inlineStr">
        <is>
          <t>FÄRGELANDA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45098</v>
      </c>
      <c r="E268" s="1" t="n">
        <v>46321</v>
      </c>
      <c r="F268" t="inlineStr">
        <is>
          <t>VÄSTRA GÖTALANDS LÄN</t>
        </is>
      </c>
      <c r="G268" t="inlineStr">
        <is>
          <t>FÄRGELANDA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45687</v>
      </c>
      <c r="E269" s="1" t="n">
        <v>46321</v>
      </c>
      <c r="F269" t="inlineStr">
        <is>
          <t>VÄSTRA GÖTALANDS LÄN</t>
        </is>
      </c>
      <c r="G269" t="inlineStr">
        <is>
          <t>FÄRGELANDA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66955-2021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44522</v>
      </c>
      <c r="E270" s="1" t="n">
        <v>46321</v>
      </c>
      <c r="F270" t="inlineStr">
        <is>
          <t>VÄSTRA GÖTALANDS LÄN</t>
        </is>
      </c>
      <c r="G270" t="inlineStr">
        <is>
          <t>FÄRGELANDA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46321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46321</v>
      </c>
      <c r="F272" t="inlineStr">
        <is>
          <t>VÄSTRA GÖTALANDS LÄN</t>
        </is>
      </c>
      <c r="G272" t="inlineStr">
        <is>
          <t>FÄRGELANDA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44916</v>
      </c>
      <c r="E273" s="1" t="n">
        <v>46321</v>
      </c>
      <c r="F273" t="inlineStr">
        <is>
          <t>VÄSTRA GÖTALANDS LÄN</t>
        </is>
      </c>
      <c r="G273" t="inlineStr">
        <is>
          <t>FÄRGELANDA</t>
        </is>
      </c>
      <c r="I273" t="n">
        <v>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46321</v>
      </c>
      <c r="F274" t="inlineStr">
        <is>
          <t>VÄSTRA GÖTALANDS LÄN</t>
        </is>
      </c>
      <c r="G274" t="inlineStr">
        <is>
          <t>FÄRGELANDA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45260</v>
      </c>
      <c r="E275" s="1" t="n">
        <v>46321</v>
      </c>
      <c r="F275" t="inlineStr">
        <is>
          <t>VÄSTRA GÖTALANDS LÄN</t>
        </is>
      </c>
      <c r="G275" t="inlineStr">
        <is>
          <t>FÄRGELANDA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45212</v>
      </c>
      <c r="E276" s="1" t="n">
        <v>46321</v>
      </c>
      <c r="F276" t="inlineStr">
        <is>
          <t>VÄSTRA GÖTALANDS LÄN</t>
        </is>
      </c>
      <c r="G276" t="inlineStr">
        <is>
          <t>FÄRGELANDA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46321</v>
      </c>
      <c r="F277" t="inlineStr">
        <is>
          <t>VÄSTRA GÖTALANDS LÄN</t>
        </is>
      </c>
      <c r="G277" t="inlineStr">
        <is>
          <t>FÄRGELANDA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59022-2023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45252</v>
      </c>
      <c r="E278" s="1" t="n">
        <v>46321</v>
      </c>
      <c r="F278" t="inlineStr">
        <is>
          <t>VÄSTRA GÖTALANDS LÄN</t>
        </is>
      </c>
      <c r="G278" t="inlineStr">
        <is>
          <t>FÄRGELANDA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59025-2023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45252</v>
      </c>
      <c r="E279" s="1" t="n">
        <v>46321</v>
      </c>
      <c r="F279" t="inlineStr">
        <is>
          <t>VÄSTRA GÖTALANDS LÄN</t>
        </is>
      </c>
      <c r="G279" t="inlineStr">
        <is>
          <t>FÄRGELANDA</t>
        </is>
      </c>
      <c r="I279" t="n">
        <v>44.5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46321</v>
      </c>
      <c r="F280" t="inlineStr">
        <is>
          <t>VÄSTRA GÖTALANDS LÄN</t>
        </is>
      </c>
      <c r="G280" t="inlineStr">
        <is>
          <t>FÄRGELANDA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46321</v>
      </c>
      <c r="F281" t="inlineStr">
        <is>
          <t>VÄSTRA GÖTALANDS LÄN</t>
        </is>
      </c>
      <c r="G281" t="inlineStr">
        <is>
          <t>FÄRGELANDA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46321</v>
      </c>
      <c r="F282" t="inlineStr">
        <is>
          <t>VÄSTRA GÖTALANDS LÄN</t>
        </is>
      </c>
      <c r="G282" t="inlineStr">
        <is>
          <t>FÄRGELANDA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46321</v>
      </c>
      <c r="F283" t="inlineStr">
        <is>
          <t>VÄSTRA GÖTALANDS LÄN</t>
        </is>
      </c>
      <c r="G283" t="inlineStr">
        <is>
          <t>FÄRGELANDA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44578</v>
      </c>
      <c r="E284" s="1" t="n">
        <v>46321</v>
      </c>
      <c r="F284" t="inlineStr">
        <is>
          <t>VÄSTRA GÖTALANDS LÄN</t>
        </is>
      </c>
      <c r="G284" t="inlineStr">
        <is>
          <t>FÄRGELANDA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46321</v>
      </c>
      <c r="F285" t="inlineStr">
        <is>
          <t>VÄSTRA GÖTALANDS LÄN</t>
        </is>
      </c>
      <c r="G285" t="inlineStr">
        <is>
          <t>FÄRGELANDA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46321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46321</v>
      </c>
      <c r="F287" t="inlineStr">
        <is>
          <t>VÄSTRA GÖTALANDS LÄN</t>
        </is>
      </c>
      <c r="G287" t="inlineStr">
        <is>
          <t>FÄRGELANDA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45040</v>
      </c>
      <c r="E288" s="1" t="n">
        <v>46321</v>
      </c>
      <c r="F288" t="inlineStr">
        <is>
          <t>VÄSTRA GÖTALANDS LÄN</t>
        </is>
      </c>
      <c r="G288" t="inlineStr">
        <is>
          <t>FÄRGELANDA</t>
        </is>
      </c>
      <c r="I288" t="n">
        <v>18.5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46321</v>
      </c>
      <c r="F289" t="inlineStr">
        <is>
          <t>VÄSTRA GÖTALANDS LÄN</t>
        </is>
      </c>
      <c r="G289" t="inlineStr">
        <is>
          <t>FÄRGELANDA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46321</v>
      </c>
      <c r="F290" t="inlineStr">
        <is>
          <t>VÄSTRA GÖTALANDS LÄN</t>
        </is>
      </c>
      <c r="G290" t="inlineStr">
        <is>
          <t>FÄRGELANDA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45388</v>
      </c>
      <c r="E291" s="1" t="n">
        <v>46321</v>
      </c>
      <c r="F291" t="inlineStr">
        <is>
          <t>VÄSTRA GÖTALANDS LÄN</t>
        </is>
      </c>
      <c r="G291" t="inlineStr">
        <is>
          <t>FÄRGELANDA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56614-2022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44893</v>
      </c>
      <c r="E292" s="1" t="n">
        <v>46321</v>
      </c>
      <c r="F292" t="inlineStr">
        <is>
          <t>VÄSTRA GÖTALANDS LÄN</t>
        </is>
      </c>
      <c r="G292" t="inlineStr">
        <is>
          <t>FÄRGELANDA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45467</v>
      </c>
      <c r="E293" s="1" t="n">
        <v>46321</v>
      </c>
      <c r="F293" t="inlineStr">
        <is>
          <t>VÄSTRA GÖTALANDS LÄN</t>
        </is>
      </c>
      <c r="G293" t="inlineStr">
        <is>
          <t>FÄRGELANDA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46321</v>
      </c>
      <c r="F294" t="inlineStr">
        <is>
          <t>VÄSTRA GÖTALANDS LÄN</t>
        </is>
      </c>
      <c r="G294" t="inlineStr">
        <is>
          <t>FÄRGELANDA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44581</v>
      </c>
      <c r="E295" s="1" t="n">
        <v>46321</v>
      </c>
      <c r="F295" t="inlineStr">
        <is>
          <t>VÄSTRA GÖTALANDS LÄN</t>
        </is>
      </c>
      <c r="G295" t="inlineStr">
        <is>
          <t>FÄRGELANDA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46321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46321</v>
      </c>
      <c r="F297" t="inlineStr">
        <is>
          <t>VÄSTRA GÖTALANDS LÄN</t>
        </is>
      </c>
      <c r="G297" t="inlineStr">
        <is>
          <t>FÄRGELANDA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46321</v>
      </c>
      <c r="F298" t="inlineStr">
        <is>
          <t>VÄSTRA GÖTALANDS LÄN</t>
        </is>
      </c>
      <c r="G298" t="inlineStr">
        <is>
          <t>FÄRGELANDA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46321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46321</v>
      </c>
      <c r="F300" t="inlineStr">
        <is>
          <t>VÄSTRA GÖTALANDS LÄN</t>
        </is>
      </c>
      <c r="G300" t="inlineStr">
        <is>
          <t>FÄRGELANDA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46321</v>
      </c>
      <c r="F301" t="inlineStr">
        <is>
          <t>VÄSTRA GÖTALANDS LÄN</t>
        </is>
      </c>
      <c r="G301" t="inlineStr">
        <is>
          <t>FÄRGELANDA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46321</v>
      </c>
      <c r="F302" t="inlineStr">
        <is>
          <t>VÄSTRA GÖTALANDS LÄN</t>
        </is>
      </c>
      <c r="G302" t="inlineStr">
        <is>
          <t>FÄRGELANDA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46321</v>
      </c>
      <c r="F303" t="inlineStr">
        <is>
          <t>VÄSTRA GÖTALANDS LÄN</t>
        </is>
      </c>
      <c r="G303" t="inlineStr">
        <is>
          <t>FÄRGELANDA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46321</v>
      </c>
      <c r="F304" t="inlineStr">
        <is>
          <t>VÄSTRA GÖTALANDS LÄN</t>
        </is>
      </c>
      <c r="G304" t="inlineStr">
        <is>
          <t>FÄRGELANDA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44686</v>
      </c>
      <c r="E305" s="1" t="n">
        <v>46321</v>
      </c>
      <c r="F305" t="inlineStr">
        <is>
          <t>VÄSTRA GÖTALANDS LÄN</t>
        </is>
      </c>
      <c r="G305" t="inlineStr">
        <is>
          <t>FÄRGELANDA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46321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28803-2022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46321</v>
      </c>
      <c r="F307" t="inlineStr">
        <is>
          <t>VÄSTRA GÖTALANDS LÄN</t>
        </is>
      </c>
      <c r="G307" t="inlineStr">
        <is>
          <t>FÄRGELANDA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45420</v>
      </c>
      <c r="E308" s="1" t="n">
        <v>46321</v>
      </c>
      <c r="F308" t="inlineStr">
        <is>
          <t>VÄSTRA GÖTALANDS LÄN</t>
        </is>
      </c>
      <c r="G308" t="inlineStr">
        <is>
          <t>FÄRGELANDA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44796-2022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44841</v>
      </c>
      <c r="E309" s="1" t="n">
        <v>46321</v>
      </c>
      <c r="F309" t="inlineStr">
        <is>
          <t>VÄSTRA GÖTALANDS LÄN</t>
        </is>
      </c>
      <c r="G309" t="inlineStr">
        <is>
          <t>FÄRGELANDA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46321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46321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46321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59020-2023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45252</v>
      </c>
      <c r="E313" s="1" t="n">
        <v>46321</v>
      </c>
      <c r="F313" t="inlineStr">
        <is>
          <t>VÄSTRA GÖTALANDS LÄN</t>
        </is>
      </c>
      <c r="G313" t="inlineStr">
        <is>
          <t>FÄRGELANDA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46321</v>
      </c>
      <c r="F314" t="inlineStr">
        <is>
          <t>VÄSTRA GÖTALANDS LÄN</t>
        </is>
      </c>
      <c r="G314" t="inlineStr">
        <is>
          <t>FÄRGELANDA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45532</v>
      </c>
      <c r="E315" s="1" t="n">
        <v>46321</v>
      </c>
      <c r="F315" t="inlineStr">
        <is>
          <t>VÄSTRA GÖTALANDS LÄN</t>
        </is>
      </c>
      <c r="G315" t="inlineStr">
        <is>
          <t>FÄRGELANDA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44768</v>
      </c>
      <c r="E316" s="1" t="n">
        <v>46321</v>
      </c>
      <c r="F316" t="inlineStr">
        <is>
          <t>VÄSTRA GÖTALANDS LÄN</t>
        </is>
      </c>
      <c r="G316" t="inlineStr">
        <is>
          <t>FÄRGELANDA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46321</v>
      </c>
      <c r="F317" t="inlineStr">
        <is>
          <t>VÄSTRA GÖTALANDS LÄN</t>
        </is>
      </c>
      <c r="G317" t="inlineStr">
        <is>
          <t>FÄRGELANDA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46321</v>
      </c>
      <c r="F318" t="inlineStr">
        <is>
          <t>VÄSTRA GÖTALANDS LÄN</t>
        </is>
      </c>
      <c r="G318" t="inlineStr">
        <is>
          <t>FÄRGELANDA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46321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46321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46321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45293</v>
      </c>
      <c r="E322" s="1" t="n">
        <v>46321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46321</v>
      </c>
      <c r="F323" t="inlineStr">
        <is>
          <t>VÄSTRA GÖTALANDS LÄN</t>
        </is>
      </c>
      <c r="G323" t="inlineStr">
        <is>
          <t>FÄRGELANDA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46321</v>
      </c>
      <c r="F324" t="inlineStr">
        <is>
          <t>VÄSTRA GÖTALANDS LÄN</t>
        </is>
      </c>
      <c r="G324" t="inlineStr">
        <is>
          <t>FÄRGELANDA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72612-2021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44546</v>
      </c>
      <c r="E325" s="1" t="n">
        <v>46321</v>
      </c>
      <c r="F325" t="inlineStr">
        <is>
          <t>VÄSTRA GÖTALANDS LÄN</t>
        </is>
      </c>
      <c r="G325" t="inlineStr">
        <is>
          <t>FÄRGELANDA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45267</v>
      </c>
      <c r="E326" s="1" t="n">
        <v>46321</v>
      </c>
      <c r="F326" t="inlineStr">
        <is>
          <t>VÄSTRA GÖTALANDS LÄN</t>
        </is>
      </c>
      <c r="G326" t="inlineStr">
        <is>
          <t>FÄRGELANDA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46321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61698-2021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46321</v>
      </c>
      <c r="F328" t="inlineStr">
        <is>
          <t>VÄSTRA GÖTALANDS LÄN</t>
        </is>
      </c>
      <c r="G328" t="inlineStr">
        <is>
          <t>FÄRGELANDA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46321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2026-10-26T03:11:48Z</dcterms:created>
  <dcterms:modified xmlns:dcterms="http://purl.org/dc/terms/" xmlns:xsi="http://www.w3.org/2001/XMLSchema-instance" xsi:type="dcterms:W3CDTF">2026-10-26T03:11:49Z</dcterms:modified>
</cp:coreProperties>
</file>