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46199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46199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46199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46199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25091-2026</t>
        </is>
      </c>
      <c r="B7" s="1" t="n">
        <v>46175</v>
      </c>
      <c r="C7" s="1" t="n">
        <v>46199</v>
      </c>
      <c r="D7" t="inlineStr">
        <is>
          <t>VÄSTRA GÖTALANDS LÄN</t>
        </is>
      </c>
      <c r="E7" t="inlineStr">
        <is>
          <t>FÄRGELANDA</t>
        </is>
      </c>
      <c r="G7" t="n">
        <v>4.4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Kornknutmossa</t>
        </is>
      </c>
      <c r="S7">
        <f>HYPERLINK("https://klasma.github.io/Logging_1439/artfynd/A 25091-2026 artfynd.xlsx", "A 25091-2026")</f>
        <v/>
      </c>
      <c r="T7">
        <f>HYPERLINK("https://klasma.github.io/Logging_1439/kartor/A 25091-2026 karta.png", "A 25091-2026")</f>
        <v/>
      </c>
      <c r="V7">
        <f>HYPERLINK("https://klasma.github.io/Logging_1439/klagomål/A 25091-2026 FSC-klagomål.docx", "A 25091-2026")</f>
        <v/>
      </c>
      <c r="W7">
        <f>HYPERLINK("https://klasma.github.io/Logging_1439/klagomålsmail/A 25091-2026 FSC-klagomål mail.docx", "A 25091-2026")</f>
        <v/>
      </c>
      <c r="X7">
        <f>HYPERLINK("https://klasma.github.io/Logging_1439/tillsyn/A 25091-2026 tillsynsbegäran.docx", "A 25091-2026")</f>
        <v/>
      </c>
      <c r="Y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46199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46199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s="1" t="n">
        <v>45547</v>
      </c>
      <c r="C10" s="1" t="n">
        <v>46199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Dropptaggsvamp
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46199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46199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46199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46199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4669-2025</t>
        </is>
      </c>
      <c r="B15" s="1" t="n">
        <v>45687</v>
      </c>
      <c r="C15" s="1" t="n">
        <v>46199</v>
      </c>
      <c r="D15" t="inlineStr">
        <is>
          <t>VÄSTRA GÖTALANDS LÄN</t>
        </is>
      </c>
      <c r="E15" t="inlineStr">
        <is>
          <t>FÄRGELANDA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HYPERLINK("https://klasma.github.io/Logging_1439/artfynd/A 4669-2025 artfynd.xlsx", "A 4669-2025")</f>
        <v/>
      </c>
      <c r="T15">
        <f>HYPERLINK("https://klasma.github.io/Logging_1439/kartor/A 4669-2025 karta.png", "A 4669-2025")</f>
        <v/>
      </c>
      <c r="V15">
        <f>HYPERLINK("https://klasma.github.io/Logging_1439/klagomål/A 4669-2025 FSC-klagomål.docx", "A 4669-2025")</f>
        <v/>
      </c>
      <c r="W15">
        <f>HYPERLINK("https://klasma.github.io/Logging_1439/klagomålsmail/A 4669-2025 FSC-klagomål mail.docx", "A 4669-2025")</f>
        <v/>
      </c>
      <c r="X15">
        <f>HYPERLINK("https://klasma.github.io/Logging_1439/tillsyn/A 4669-2025 tillsynsbegäran.docx", "A 4669-2025")</f>
        <v/>
      </c>
      <c r="Y15">
        <f>HYPERLINK("https://klasma.github.io/Logging_1439/tillsynsmail/A 4669-2025 tillsynsbegäran mail.docx", "A 4669-2025")</f>
        <v/>
      </c>
      <c r="Z15">
        <f>HYPERLINK("https://klasma.github.io/Logging_1439/fåglar/A 4669-2025 prioriterade fågelarter.docx", "A 4669-2025")</f>
        <v/>
      </c>
    </row>
    <row r="16" ht="15" customHeight="1">
      <c r="A16" t="inlineStr">
        <is>
          <t>A 19083-2025</t>
        </is>
      </c>
      <c r="B16" s="1" t="n">
        <v>45766</v>
      </c>
      <c r="C16" s="1" t="n">
        <v>46199</v>
      </c>
      <c r="D16" t="inlineStr">
        <is>
          <t>VÄSTRA GÖTALANDS LÄN</t>
        </is>
      </c>
      <c r="E16" t="inlineStr">
        <is>
          <t>FÄRGELANDA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HYPERLINK("https://klasma.github.io/Logging_1439/artfynd/A 19083-2025 artfynd.xlsx", "A 19083-2025")</f>
        <v/>
      </c>
      <c r="T16">
        <f>HYPERLINK("https://klasma.github.io/Logging_1439/kartor/A 19083-2025 karta.png", "A 19083-2025")</f>
        <v/>
      </c>
      <c r="V16">
        <f>HYPERLINK("https://klasma.github.io/Logging_1439/klagomål/A 19083-2025 FSC-klagomål.docx", "A 19083-2025")</f>
        <v/>
      </c>
      <c r="W16">
        <f>HYPERLINK("https://klasma.github.io/Logging_1439/klagomålsmail/A 19083-2025 FSC-klagomål mail.docx", "A 19083-2025")</f>
        <v/>
      </c>
      <c r="X16">
        <f>HYPERLINK("https://klasma.github.io/Logging_1439/tillsyn/A 19083-2025 tillsynsbegäran.docx", "A 19083-2025")</f>
        <v/>
      </c>
      <c r="Y16">
        <f>HYPERLINK("https://klasma.github.io/Logging_1439/tillsynsmail/A 19083-2025 tillsynsbegäran mail.docx", "A 19083-2025")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46199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46199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46199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46199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46199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46199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46199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46199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46199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</v>
      </c>
      <c r="C27" s="1" t="n">
        <v>46199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</v>
      </c>
      <c r="C28" s="1" t="n">
        <v>46199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46199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46199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46199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46199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46199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46199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46199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46199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46199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46199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46199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46199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46199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46199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46199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46199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46199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46199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46199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35447-2021</t>
        </is>
      </c>
      <c r="B48" s="1" t="n">
        <v>44385</v>
      </c>
      <c r="C48" s="1" t="n">
        <v>46199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59106-2021</t>
        </is>
      </c>
      <c r="B49" s="1" t="n">
        <v>44490</v>
      </c>
      <c r="C49" s="1" t="n">
        <v>46199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46199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35204-2021</t>
        </is>
      </c>
      <c r="B51" s="1" t="n">
        <v>44383</v>
      </c>
      <c r="C51" s="1" t="n">
        <v>46199</v>
      </c>
      <c r="D51" t="inlineStr">
        <is>
          <t>VÄSTRA GÖTALANDS LÄN</t>
        </is>
      </c>
      <c r="E51" t="inlineStr">
        <is>
          <t>FÄRGELANDA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46199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52599-2021</t>
        </is>
      </c>
      <c r="B53" s="1" t="n">
        <v>44465</v>
      </c>
      <c r="C53" s="1" t="n">
        <v>46199</v>
      </c>
      <c r="D53" t="inlineStr">
        <is>
          <t>VÄSTRA GÖTALANDS LÄN</t>
        </is>
      </c>
      <c r="E53" t="inlineStr">
        <is>
          <t>FÄRGELANDA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56918-2023</t>
        </is>
      </c>
      <c r="B54" s="1" t="n">
        <v>45244</v>
      </c>
      <c r="C54" s="1" t="n">
        <v>46199</v>
      </c>
      <c r="D54" t="inlineStr">
        <is>
          <t>VÄSTRA GÖTALANDS LÄN</t>
        </is>
      </c>
      <c r="E54" t="inlineStr">
        <is>
          <t>FÄRGELANDA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37898-2022</t>
        </is>
      </c>
      <c r="B55" s="1" t="n">
        <v>44811</v>
      </c>
      <c r="C55" s="1" t="n">
        <v>46199</v>
      </c>
      <c r="D55" t="inlineStr">
        <is>
          <t>VÄSTRA GÖTALANDS LÄN</t>
        </is>
      </c>
      <c r="E55" t="inlineStr">
        <is>
          <t>FÄRGELANDA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6666-2025</t>
        </is>
      </c>
      <c r="B56" s="1" t="n">
        <v>45700</v>
      </c>
      <c r="C56" s="1" t="n">
        <v>46199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54698-2022</t>
        </is>
      </c>
      <c r="B57" s="1" t="n">
        <v>44883</v>
      </c>
      <c r="C57" s="1" t="n">
        <v>46199</v>
      </c>
      <c r="D57" t="inlineStr">
        <is>
          <t>VÄSTRA GÖTALANDS LÄN</t>
        </is>
      </c>
      <c r="E57" t="inlineStr">
        <is>
          <t>FÄRGELANDA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13673-2025</t>
        </is>
      </c>
      <c r="B58" s="1" t="n">
        <v>45736</v>
      </c>
      <c r="C58" s="1" t="n">
        <v>46199</v>
      </c>
      <c r="D58" t="inlineStr">
        <is>
          <t>VÄSTRA GÖTALANDS LÄN</t>
        </is>
      </c>
      <c r="E58" t="inlineStr">
        <is>
          <t>FÄRGELANDA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17627-2024</t>
        </is>
      </c>
      <c r="B59" s="1" t="n">
        <v>45418</v>
      </c>
      <c r="C59" s="1" t="n">
        <v>46199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59023-2023</t>
        </is>
      </c>
      <c r="B60" s="1" t="n">
        <v>45252</v>
      </c>
      <c r="C60" s="1" t="n">
        <v>46199</v>
      </c>
      <c r="D60" t="inlineStr">
        <is>
          <t>VÄSTRA GÖTALANDS LÄN</t>
        </is>
      </c>
      <c r="E60" t="inlineStr">
        <is>
          <t>FÄRGELANDA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12710-2024</t>
        </is>
      </c>
      <c r="B61" s="1" t="n">
        <v>45384</v>
      </c>
      <c r="C61" s="1" t="n">
        <v>46199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38363-2025</t>
        </is>
      </c>
      <c r="B62" s="1" t="n">
        <v>45883</v>
      </c>
      <c r="C62" s="1" t="n">
        <v>46199</v>
      </c>
      <c r="D62" t="inlineStr">
        <is>
          <t>VÄSTRA GÖTALANDS LÄN</t>
        </is>
      </c>
      <c r="E62" t="inlineStr">
        <is>
          <t>FÄRGELANDA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</v>
      </c>
      <c r="C63" s="1" t="n">
        <v>46199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6322-2024</t>
        </is>
      </c>
      <c r="B64" s="1" t="n">
        <v>45338</v>
      </c>
      <c r="C64" s="1" t="n">
        <v>46199</v>
      </c>
      <c r="D64" t="inlineStr">
        <is>
          <t>VÄSTRA GÖTALANDS LÄN</t>
        </is>
      </c>
      <c r="E64" t="inlineStr">
        <is>
          <t>FÄRGELANDA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55840-2023</t>
        </is>
      </c>
      <c r="B65" s="1" t="n">
        <v>45239</v>
      </c>
      <c r="C65" s="1" t="n">
        <v>46199</v>
      </c>
      <c r="D65" t="inlineStr">
        <is>
          <t>VÄSTRA GÖTALANDS LÄN</t>
        </is>
      </c>
      <c r="E65" t="inlineStr">
        <is>
          <t>FÄRGELANDA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60382-2023</t>
        </is>
      </c>
      <c r="B66" s="1" t="n">
        <v>45259</v>
      </c>
      <c r="C66" s="1" t="n">
        <v>46199</v>
      </c>
      <c r="D66" t="inlineStr">
        <is>
          <t>VÄSTRA GÖTALANDS LÄN</t>
        </is>
      </c>
      <c r="E66" t="inlineStr">
        <is>
          <t>FÄRGELANDA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</v>
      </c>
      <c r="C67" s="1" t="n">
        <v>46199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46199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9285-2025</t>
        </is>
      </c>
      <c r="B69" s="1" t="n">
        <v>45714</v>
      </c>
      <c r="C69" s="1" t="n">
        <v>46199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15077-2025</t>
        </is>
      </c>
      <c r="B70" s="1" t="n">
        <v>45743</v>
      </c>
      <c r="C70" s="1" t="n">
        <v>46199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14014-2025</t>
        </is>
      </c>
      <c r="B71" s="1" t="n">
        <v>45740</v>
      </c>
      <c r="C71" s="1" t="n">
        <v>46199</v>
      </c>
      <c r="D71" t="inlineStr">
        <is>
          <t>VÄSTRA GÖTALANDS LÄN</t>
        </is>
      </c>
      <c r="E71" t="inlineStr">
        <is>
          <t>FÄRGELANDA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43684-2022</t>
        </is>
      </c>
      <c r="B72" s="1" t="n">
        <v>44837</v>
      </c>
      <c r="C72" s="1" t="n">
        <v>46199</v>
      </c>
      <c r="D72" t="inlineStr">
        <is>
          <t>VÄSTRA GÖTALANDS LÄN</t>
        </is>
      </c>
      <c r="E72" t="inlineStr">
        <is>
          <t>FÄRGELANDA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24082-2025</t>
        </is>
      </c>
      <c r="B73" s="1" t="n">
        <v>45796</v>
      </c>
      <c r="C73" s="1" t="n">
        <v>46199</v>
      </c>
      <c r="D73" t="inlineStr">
        <is>
          <t>VÄSTRA GÖTALANDS LÄN</t>
        </is>
      </c>
      <c r="E73" t="inlineStr">
        <is>
          <t>FÄRGELANDA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58330-2021</t>
        </is>
      </c>
      <c r="B74" s="1" t="n">
        <v>44488</v>
      </c>
      <c r="C74" s="1" t="n">
        <v>46199</v>
      </c>
      <c r="D74" t="inlineStr">
        <is>
          <t>VÄSTRA GÖTALANDS LÄN</t>
        </is>
      </c>
      <c r="E74" t="inlineStr">
        <is>
          <t>FÄRGELANDA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17911-2024</t>
        </is>
      </c>
      <c r="B75" s="1" t="n">
        <v>45419</v>
      </c>
      <c r="C75" s="1" t="n">
        <v>46199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72655-2021</t>
        </is>
      </c>
      <c r="B76" s="1" t="n">
        <v>44546</v>
      </c>
      <c r="C76" s="1" t="n">
        <v>46199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8574-2024</t>
        </is>
      </c>
      <c r="B77" s="1" t="n">
        <v>45355</v>
      </c>
      <c r="C77" s="1" t="n">
        <v>46199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24548-2025</t>
        </is>
      </c>
      <c r="B78" s="1" t="n">
        <v>45798</v>
      </c>
      <c r="C78" s="1" t="n">
        <v>46199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17487-2025</t>
        </is>
      </c>
      <c r="B79" s="1" t="n">
        <v>45757</v>
      </c>
      <c r="C79" s="1" t="n">
        <v>46199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53047-2024</t>
        </is>
      </c>
      <c r="B80" s="1" t="n">
        <v>45611</v>
      </c>
      <c r="C80" s="1" t="n">
        <v>46199</v>
      </c>
      <c r="D80" t="inlineStr">
        <is>
          <t>VÄSTRA GÖTALANDS LÄN</t>
        </is>
      </c>
      <c r="E80" t="inlineStr">
        <is>
          <t>FÄRGELANDA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39630-2025</t>
        </is>
      </c>
      <c r="B81" s="1" t="n">
        <v>45890</v>
      </c>
      <c r="C81" s="1" t="n">
        <v>46199</v>
      </c>
      <c r="D81" t="inlineStr">
        <is>
          <t>VÄSTRA GÖTALANDS LÄN</t>
        </is>
      </c>
      <c r="E81" t="inlineStr">
        <is>
          <t>FÄRGELANDA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40213-2025</t>
        </is>
      </c>
      <c r="B82" s="1" t="n">
        <v>45894</v>
      </c>
      <c r="C82" s="1" t="n">
        <v>46199</v>
      </c>
      <c r="D82" t="inlineStr">
        <is>
          <t>VÄSTRA GÖTALANDS LÄN</t>
        </is>
      </c>
      <c r="E82" t="inlineStr">
        <is>
          <t>FÄRGELANDA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40226-2025</t>
        </is>
      </c>
      <c r="B83" s="1" t="n">
        <v>45894</v>
      </c>
      <c r="C83" s="1" t="n">
        <v>46199</v>
      </c>
      <c r="D83" t="inlineStr">
        <is>
          <t>VÄSTRA GÖTALANDS LÄN</t>
        </is>
      </c>
      <c r="E83" t="inlineStr">
        <is>
          <t>FÄRGELANDA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40420-2025</t>
        </is>
      </c>
      <c r="B84" s="1" t="n">
        <v>45895</v>
      </c>
      <c r="C84" s="1" t="n">
        <v>46199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24731-2025</t>
        </is>
      </c>
      <c r="B85" s="1" t="n">
        <v>45799</v>
      </c>
      <c r="C85" s="1" t="n">
        <v>46199</v>
      </c>
      <c r="D85" t="inlineStr">
        <is>
          <t>VÄSTRA GÖTALANDS LÄN</t>
        </is>
      </c>
      <c r="E85" t="inlineStr">
        <is>
          <t>FÄRGELANDA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53906-2021</t>
        </is>
      </c>
      <c r="B86" s="1" t="n">
        <v>44469</v>
      </c>
      <c r="C86" s="1" t="n">
        <v>46199</v>
      </c>
      <c r="D86" t="inlineStr">
        <is>
          <t>VÄSTRA GÖTALANDS LÄN</t>
        </is>
      </c>
      <c r="E86" t="inlineStr">
        <is>
          <t>FÄRGELANDA</t>
        </is>
      </c>
      <c r="G86" t="n">
        <v>20.8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25095-2025</t>
        </is>
      </c>
      <c r="B87" s="1" t="n">
        <v>45800</v>
      </c>
      <c r="C87" s="1" t="n">
        <v>46199</v>
      </c>
      <c r="D87" t="inlineStr">
        <is>
          <t>VÄSTRA GÖTALANDS LÄN</t>
        </is>
      </c>
      <c r="E87" t="inlineStr">
        <is>
          <t>FÄRGELANDA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68285-2021</t>
        </is>
      </c>
      <c r="B88" s="1" t="n">
        <v>44526</v>
      </c>
      <c r="C88" s="1" t="n">
        <v>46199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24751-2025</t>
        </is>
      </c>
      <c r="B89" s="1" t="n">
        <v>45799</v>
      </c>
      <c r="C89" s="1" t="n">
        <v>46199</v>
      </c>
      <c r="D89" t="inlineStr">
        <is>
          <t>VÄSTRA GÖTALANDS LÄN</t>
        </is>
      </c>
      <c r="E89" t="inlineStr">
        <is>
          <t>FÄRGELANDA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42329-2025</t>
        </is>
      </c>
      <c r="B90" s="1" t="n">
        <v>45904</v>
      </c>
      <c r="C90" s="1" t="n">
        <v>46199</v>
      </c>
      <c r="D90" t="inlineStr">
        <is>
          <t>VÄSTRA GÖTALANDS LÄN</t>
        </is>
      </c>
      <c r="E90" t="inlineStr">
        <is>
          <t>FÄRGELANDA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54038-2021</t>
        </is>
      </c>
      <c r="B91" s="1" t="n">
        <v>44470</v>
      </c>
      <c r="C91" s="1" t="n">
        <v>46199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26292-2025</t>
        </is>
      </c>
      <c r="B92" s="1" t="n">
        <v>45805</v>
      </c>
      <c r="C92" s="1" t="n">
        <v>46199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50009-2024</t>
        </is>
      </c>
      <c r="B93" s="1" t="n">
        <v>45598</v>
      </c>
      <c r="C93" s="1" t="n">
        <v>46199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58869-2025</t>
        </is>
      </c>
      <c r="B94" s="1" t="n">
        <v>45987</v>
      </c>
      <c r="C94" s="1" t="n">
        <v>46199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64427-2023</t>
        </is>
      </c>
      <c r="B95" s="1" t="n">
        <v>45280</v>
      </c>
      <c r="C95" s="1" t="n">
        <v>46199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4207-2024</t>
        </is>
      </c>
      <c r="B96" s="1" t="n">
        <v>45324</v>
      </c>
      <c r="C96" s="1" t="n">
        <v>46199</v>
      </c>
      <c r="D96" t="inlineStr">
        <is>
          <t>VÄSTRA GÖTALANDS LÄN</t>
        </is>
      </c>
      <c r="E96" t="inlineStr">
        <is>
          <t>FÄRGELANDA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18186-2024</t>
        </is>
      </c>
      <c r="B97" s="1" t="n">
        <v>45420</v>
      </c>
      <c r="C97" s="1" t="n">
        <v>46199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27054-2025</t>
        </is>
      </c>
      <c r="B98" s="1" t="n">
        <v>45811</v>
      </c>
      <c r="C98" s="1" t="n">
        <v>46199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58324-2022</t>
        </is>
      </c>
      <c r="B99" s="1" t="n">
        <v>44901</v>
      </c>
      <c r="C99" s="1" t="n">
        <v>46199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23222-2024</t>
        </is>
      </c>
      <c r="B100" s="1" t="n">
        <v>45452</v>
      </c>
      <c r="C100" s="1" t="n">
        <v>46199</v>
      </c>
      <c r="D100" t="inlineStr">
        <is>
          <t>VÄSTRA GÖTALANDS LÄN</t>
        </is>
      </c>
      <c r="E100" t="inlineStr">
        <is>
          <t>FÄRGELANDA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56619-2022</t>
        </is>
      </c>
      <c r="B101" s="1" t="n">
        <v>44893</v>
      </c>
      <c r="C101" s="1" t="n">
        <v>46199</v>
      </c>
      <c r="D101" t="inlineStr">
        <is>
          <t>VÄSTRA GÖTALANDS LÄN</t>
        </is>
      </c>
      <c r="E101" t="inlineStr">
        <is>
          <t>FÄRGELANDA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57868-2022</t>
        </is>
      </c>
      <c r="B102" s="1" t="n">
        <v>44899</v>
      </c>
      <c r="C102" s="1" t="n">
        <v>46199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57869-2022</t>
        </is>
      </c>
      <c r="B103" s="1" t="n">
        <v>44899</v>
      </c>
      <c r="C103" s="1" t="n">
        <v>46199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9736-2024</t>
        </is>
      </c>
      <c r="B104" s="1" t="n">
        <v>45362</v>
      </c>
      <c r="C104" s="1" t="n">
        <v>46199</v>
      </c>
      <c r="D104" t="inlineStr">
        <is>
          <t>VÄSTRA GÖTALANDS LÄN</t>
        </is>
      </c>
      <c r="E104" t="inlineStr">
        <is>
          <t>FÄRGELANDA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44552-2025</t>
        </is>
      </c>
      <c r="B105" s="1" t="n">
        <v>45917</v>
      </c>
      <c r="C105" s="1" t="n">
        <v>46199</v>
      </c>
      <c r="D105" t="inlineStr">
        <is>
          <t>VÄSTRA GÖTALANDS LÄN</t>
        </is>
      </c>
      <c r="E105" t="inlineStr">
        <is>
          <t>FÄRGELANDA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58317-2021</t>
        </is>
      </c>
      <c r="B106" s="1" t="n">
        <v>44488</v>
      </c>
      <c r="C106" s="1" t="n">
        <v>46199</v>
      </c>
      <c r="D106" t="inlineStr">
        <is>
          <t>VÄSTRA GÖTALANDS LÄN</t>
        </is>
      </c>
      <c r="E106" t="inlineStr">
        <is>
          <t>FÄRGELANDA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44990-2025</t>
        </is>
      </c>
      <c r="B107" s="1" t="n">
        <v>45918</v>
      </c>
      <c r="C107" s="1" t="n">
        <v>46199</v>
      </c>
      <c r="D107" t="inlineStr">
        <is>
          <t>VÄSTRA GÖTALANDS LÄN</t>
        </is>
      </c>
      <c r="E107" t="inlineStr">
        <is>
          <t>FÄRGELANDA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27755-2025</t>
        </is>
      </c>
      <c r="B108" s="1" t="n">
        <v>45815</v>
      </c>
      <c r="C108" s="1" t="n">
        <v>46199</v>
      </c>
      <c r="D108" t="inlineStr">
        <is>
          <t>VÄSTRA GÖTALANDS LÄN</t>
        </is>
      </c>
      <c r="E108" t="inlineStr">
        <is>
          <t>FÄRGELANDA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30406-2024</t>
        </is>
      </c>
      <c r="B109" s="1" t="n">
        <v>45491</v>
      </c>
      <c r="C109" s="1" t="n">
        <v>46199</v>
      </c>
      <c r="D109" t="inlineStr">
        <is>
          <t>VÄSTRA GÖTALANDS LÄN</t>
        </is>
      </c>
      <c r="E109" t="inlineStr">
        <is>
          <t>FÄRGELANDA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37136-2024</t>
        </is>
      </c>
      <c r="B110" s="1" t="n">
        <v>45539</v>
      </c>
      <c r="C110" s="1" t="n">
        <v>46199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59318-2025</t>
        </is>
      </c>
      <c r="B111" s="1" t="n">
        <v>45989</v>
      </c>
      <c r="C111" s="1" t="n">
        <v>46199</v>
      </c>
      <c r="D111" t="inlineStr">
        <is>
          <t>VÄSTRA GÖTALANDS LÄN</t>
        </is>
      </c>
      <c r="E111" t="inlineStr">
        <is>
          <t>FÄRGELANDA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8594-2024</t>
        </is>
      </c>
      <c r="B112" s="1" t="n">
        <v>45355</v>
      </c>
      <c r="C112" s="1" t="n">
        <v>46199</v>
      </c>
      <c r="D112" t="inlineStr">
        <is>
          <t>VÄSTRA GÖTALANDS LÄN</t>
        </is>
      </c>
      <c r="E112" t="inlineStr">
        <is>
          <t>FÄRGELANDA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53196-2025</t>
        </is>
      </c>
      <c r="B113" s="1" t="n">
        <v>45958</v>
      </c>
      <c r="C113" s="1" t="n">
        <v>46199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45268-2021</t>
        </is>
      </c>
      <c r="B114" s="1" t="n">
        <v>44439</v>
      </c>
      <c r="C114" s="1" t="n">
        <v>46199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60244-2025</t>
        </is>
      </c>
      <c r="B115" s="1" t="n">
        <v>45994</v>
      </c>
      <c r="C115" s="1" t="n">
        <v>46199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71963-2021</t>
        </is>
      </c>
      <c r="B116" s="1" t="n">
        <v>44544</v>
      </c>
      <c r="C116" s="1" t="n">
        <v>46199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31146-2025</t>
        </is>
      </c>
      <c r="B117" s="1" t="n">
        <v>45832</v>
      </c>
      <c r="C117" s="1" t="n">
        <v>46199</v>
      </c>
      <c r="D117" t="inlineStr">
        <is>
          <t>VÄSTRA GÖTALANDS LÄN</t>
        </is>
      </c>
      <c r="E117" t="inlineStr">
        <is>
          <t>FÄRGELANDA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30994-2025</t>
        </is>
      </c>
      <c r="B118" s="1" t="n">
        <v>45832</v>
      </c>
      <c r="C118" s="1" t="n">
        <v>46199</v>
      </c>
      <c r="D118" t="inlineStr">
        <is>
          <t>VÄSTRA GÖTALANDS LÄN</t>
        </is>
      </c>
      <c r="E118" t="inlineStr">
        <is>
          <t>FÄRGELANDA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30737-2025</t>
        </is>
      </c>
      <c r="B119" s="1" t="n">
        <v>45831</v>
      </c>
      <c r="C119" s="1" t="n">
        <v>46199</v>
      </c>
      <c r="D119" t="inlineStr">
        <is>
          <t>VÄSTRA GÖTALANDS LÄN</t>
        </is>
      </c>
      <c r="E119" t="inlineStr">
        <is>
          <t>FÄRGELANDA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58868-2025</t>
        </is>
      </c>
      <c r="B120" s="1" t="n">
        <v>45987</v>
      </c>
      <c r="C120" s="1" t="n">
        <v>46199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1997-2023</t>
        </is>
      </c>
      <c r="B121" s="1" t="n">
        <v>44939</v>
      </c>
      <c r="C121" s="1" t="n">
        <v>46199</v>
      </c>
      <c r="D121" t="inlineStr">
        <is>
          <t>VÄSTRA GÖTALANDS LÄN</t>
        </is>
      </c>
      <c r="E121" t="inlineStr">
        <is>
          <t>FÄRGELANDA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62254-2025</t>
        </is>
      </c>
      <c r="B122" s="1" t="n">
        <v>46006</v>
      </c>
      <c r="C122" s="1" t="n">
        <v>46199</v>
      </c>
      <c r="D122" t="inlineStr">
        <is>
          <t>VÄSTRA GÖTALANDS LÄN</t>
        </is>
      </c>
      <c r="E122" t="inlineStr">
        <is>
          <t>FÄRGELANDA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57446-2022</t>
        </is>
      </c>
      <c r="B123" s="1" t="n">
        <v>44896</v>
      </c>
      <c r="C123" s="1" t="n">
        <v>46199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48479-2025</t>
        </is>
      </c>
      <c r="B124" s="1" t="n">
        <v>45936</v>
      </c>
      <c r="C124" s="1" t="n">
        <v>46199</v>
      </c>
      <c r="D124" t="inlineStr">
        <is>
          <t>VÄSTRA GÖTALANDS LÄN</t>
        </is>
      </c>
      <c r="E124" t="inlineStr">
        <is>
          <t>FÄRGELANDA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62435-2025</t>
        </is>
      </c>
      <c r="B125" s="1" t="n">
        <v>46007</v>
      </c>
      <c r="C125" s="1" t="n">
        <v>46199</v>
      </c>
      <c r="D125" t="inlineStr">
        <is>
          <t>VÄSTRA GÖTALANDS LÄN</t>
        </is>
      </c>
      <c r="E125" t="inlineStr">
        <is>
          <t>FÄRGELANDA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8223-2024</t>
        </is>
      </c>
      <c r="B126" s="1" t="n">
        <v>45351</v>
      </c>
      <c r="C126" s="1" t="n">
        <v>46199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8224-2024</t>
        </is>
      </c>
      <c r="B127" s="1" t="n">
        <v>45351</v>
      </c>
      <c r="C127" s="1" t="n">
        <v>46199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62426-2025</t>
        </is>
      </c>
      <c r="B128" s="1" t="n">
        <v>46007</v>
      </c>
      <c r="C128" s="1" t="n">
        <v>46199</v>
      </c>
      <c r="D128" t="inlineStr">
        <is>
          <t>VÄSTRA GÖTALANDS LÄN</t>
        </is>
      </c>
      <c r="E128" t="inlineStr">
        <is>
          <t>FÄRGELANDA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48087-2025</t>
        </is>
      </c>
      <c r="B129" s="1" t="n">
        <v>45932</v>
      </c>
      <c r="C129" s="1" t="n">
        <v>46199</v>
      </c>
      <c r="D129" t="inlineStr">
        <is>
          <t>VÄSTRA GÖTALANDS LÄN</t>
        </is>
      </c>
      <c r="E129" t="inlineStr">
        <is>
          <t>FÄRGELANDA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48948-2021</t>
        </is>
      </c>
      <c r="B130" s="1" t="n">
        <v>44453</v>
      </c>
      <c r="C130" s="1" t="n">
        <v>46199</v>
      </c>
      <c r="D130" t="inlineStr">
        <is>
          <t>VÄSTRA GÖTALANDS LÄN</t>
        </is>
      </c>
      <c r="E130" t="inlineStr">
        <is>
          <t>FÄRGELANDA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31984-2025</t>
        </is>
      </c>
      <c r="B131" s="1" t="n">
        <v>45835</v>
      </c>
      <c r="C131" s="1" t="n">
        <v>46199</v>
      </c>
      <c r="D131" t="inlineStr">
        <is>
          <t>VÄSTRA GÖTALANDS LÄN</t>
        </is>
      </c>
      <c r="E131" t="inlineStr">
        <is>
          <t>FÄRGELANDA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49069-2025</t>
        </is>
      </c>
      <c r="B132" s="1" t="n">
        <v>45937</v>
      </c>
      <c r="C132" s="1" t="n">
        <v>46199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31996-2025</t>
        </is>
      </c>
      <c r="B133" s="1" t="n">
        <v>45835</v>
      </c>
      <c r="C133" s="1" t="n">
        <v>46199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32013-2025</t>
        </is>
      </c>
      <c r="B134" s="1" t="n">
        <v>45835</v>
      </c>
      <c r="C134" s="1" t="n">
        <v>46199</v>
      </c>
      <c r="D134" t="inlineStr">
        <is>
          <t>VÄSTRA GÖTALANDS LÄN</t>
        </is>
      </c>
      <c r="E134" t="inlineStr">
        <is>
          <t>FÄRGELANDA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50883-2025</t>
        </is>
      </c>
      <c r="B135" s="1" t="n">
        <v>45946</v>
      </c>
      <c r="C135" s="1" t="n">
        <v>46199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8452-2023</t>
        </is>
      </c>
      <c r="B136" s="1" t="n">
        <v>44977</v>
      </c>
      <c r="C136" s="1" t="n">
        <v>46199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34379-2025</t>
        </is>
      </c>
      <c r="B137" s="1" t="n">
        <v>45846</v>
      </c>
      <c r="C137" s="1" t="n">
        <v>46199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6180-2022</t>
        </is>
      </c>
      <c r="B138" s="1" t="n">
        <v>44600</v>
      </c>
      <c r="C138" s="1" t="n">
        <v>46199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46199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50876-2025</t>
        </is>
      </c>
      <c r="B140" s="1" t="n">
        <v>45946</v>
      </c>
      <c r="C140" s="1" t="n">
        <v>46199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51483-2025</t>
        </is>
      </c>
      <c r="B141" s="1" t="n">
        <v>45950</v>
      </c>
      <c r="C141" s="1" t="n">
        <v>46199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51476-2025</t>
        </is>
      </c>
      <c r="B142" s="1" t="n">
        <v>45950</v>
      </c>
      <c r="C142" s="1" t="n">
        <v>46199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51271-2025</t>
        </is>
      </c>
      <c r="B143" s="1" t="n">
        <v>45949</v>
      </c>
      <c r="C143" s="1" t="n">
        <v>46199</v>
      </c>
      <c r="D143" t="inlineStr">
        <is>
          <t>VÄSTRA GÖTALANDS LÄN</t>
        </is>
      </c>
      <c r="E143" t="inlineStr">
        <is>
          <t>FÄRGELANDA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61914-2022</t>
        </is>
      </c>
      <c r="B144" s="1" t="n">
        <v>44917</v>
      </c>
      <c r="C144" s="1" t="n">
        <v>46199</v>
      </c>
      <c r="D144" t="inlineStr">
        <is>
          <t>VÄSTRA GÖTALANDS LÄN</t>
        </is>
      </c>
      <c r="E144" t="inlineStr">
        <is>
          <t>FÄRGELANDA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52725-2025</t>
        </is>
      </c>
      <c r="B145" s="1" t="n">
        <v>45957</v>
      </c>
      <c r="C145" s="1" t="n">
        <v>46199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22719-2023</t>
        </is>
      </c>
      <c r="B146" s="1" t="n">
        <v>45071</v>
      </c>
      <c r="C146" s="1" t="n">
        <v>46199</v>
      </c>
      <c r="D146" t="inlineStr">
        <is>
          <t>VÄSTRA GÖTALANDS LÄN</t>
        </is>
      </c>
      <c r="E146" t="inlineStr">
        <is>
          <t>FÄRGELANDA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1610-2026</t>
        </is>
      </c>
      <c r="B147" s="1" t="n">
        <v>46034</v>
      </c>
      <c r="C147" s="1" t="n">
        <v>46199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53276-2025</t>
        </is>
      </c>
      <c r="B148" s="1" t="n">
        <v>45958</v>
      </c>
      <c r="C148" s="1" t="n">
        <v>46199</v>
      </c>
      <c r="D148" t="inlineStr">
        <is>
          <t>VÄSTRA GÖTALANDS LÄN</t>
        </is>
      </c>
      <c r="E148" t="inlineStr">
        <is>
          <t>FÄRGELANDA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54260-2025</t>
        </is>
      </c>
      <c r="B149" s="1" t="n">
        <v>45964</v>
      </c>
      <c r="C149" s="1" t="n">
        <v>46199</v>
      </c>
      <c r="D149" t="inlineStr">
        <is>
          <t>VÄSTRA GÖTALANDS LÄN</t>
        </is>
      </c>
      <c r="E149" t="inlineStr">
        <is>
          <t>FÄRGELANDA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2696-2026</t>
        </is>
      </c>
      <c r="B150" s="1" t="n">
        <v>46037</v>
      </c>
      <c r="C150" s="1" t="n">
        <v>46199</v>
      </c>
      <c r="D150" t="inlineStr">
        <is>
          <t>VÄSTRA GÖTALANDS LÄN</t>
        </is>
      </c>
      <c r="E150" t="inlineStr">
        <is>
          <t>FÄRGELANDA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54410-2025</t>
        </is>
      </c>
      <c r="B151" s="1" t="n">
        <v>45965</v>
      </c>
      <c r="C151" s="1" t="n">
        <v>46199</v>
      </c>
      <c r="D151" t="inlineStr">
        <is>
          <t>VÄSTRA GÖTALANDS LÄN</t>
        </is>
      </c>
      <c r="E151" t="inlineStr">
        <is>
          <t>FÄRGELANDA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19332-2023</t>
        </is>
      </c>
      <c r="B152" s="1" t="n">
        <v>45049</v>
      </c>
      <c r="C152" s="1" t="n">
        <v>46199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12460-2022</t>
        </is>
      </c>
      <c r="B153" s="1" t="n">
        <v>44638</v>
      </c>
      <c r="C153" s="1" t="n">
        <v>46199</v>
      </c>
      <c r="D153" t="inlineStr">
        <is>
          <t>VÄSTRA GÖTALANDS LÄN</t>
        </is>
      </c>
      <c r="E153" t="inlineStr">
        <is>
          <t>FÄRGELANDA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37067-2025</t>
        </is>
      </c>
      <c r="B154" s="1" t="n">
        <v>45875</v>
      </c>
      <c r="C154" s="1" t="n">
        <v>46199</v>
      </c>
      <c r="D154" t="inlineStr">
        <is>
          <t>VÄSTRA GÖTALANDS LÄN</t>
        </is>
      </c>
      <c r="E154" t="inlineStr">
        <is>
          <t>FÄRGELANDA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54401-2025</t>
        </is>
      </c>
      <c r="B155" s="1" t="n">
        <v>45965</v>
      </c>
      <c r="C155" s="1" t="n">
        <v>46199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54405-2025</t>
        </is>
      </c>
      <c r="B156" s="1" t="n">
        <v>45965</v>
      </c>
      <c r="C156" s="1" t="n">
        <v>46199</v>
      </c>
      <c r="D156" t="inlineStr">
        <is>
          <t>VÄSTRA GÖTALANDS LÄN</t>
        </is>
      </c>
      <c r="E156" t="inlineStr">
        <is>
          <t>FÄRGELANDA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17486-2025</t>
        </is>
      </c>
      <c r="B157" s="1" t="n">
        <v>45757</v>
      </c>
      <c r="C157" s="1" t="n">
        <v>46199</v>
      </c>
      <c r="D157" t="inlineStr">
        <is>
          <t>VÄSTRA GÖTALANDS LÄN</t>
        </is>
      </c>
      <c r="E157" t="inlineStr">
        <is>
          <t>FÄRGELANDA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40774-2024</t>
        </is>
      </c>
      <c r="B158" s="1" t="n">
        <v>45558</v>
      </c>
      <c r="C158" s="1" t="n">
        <v>46199</v>
      </c>
      <c r="D158" t="inlineStr">
        <is>
          <t>VÄSTRA GÖTALANDS LÄN</t>
        </is>
      </c>
      <c r="E158" t="inlineStr">
        <is>
          <t>FÄRGELANDA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55299-2025</t>
        </is>
      </c>
      <c r="B159" s="1" t="n">
        <v>45969</v>
      </c>
      <c r="C159" s="1" t="n">
        <v>46199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55300-2025</t>
        </is>
      </c>
      <c r="B160" s="1" t="n">
        <v>45969</v>
      </c>
      <c r="C160" s="1" t="n">
        <v>46199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5962-2026</t>
        </is>
      </c>
      <c r="B161" s="1" t="n">
        <v>46052</v>
      </c>
      <c r="C161" s="1" t="n">
        <v>46199</v>
      </c>
      <c r="D161" t="inlineStr">
        <is>
          <t>VÄSTRA GÖTALANDS LÄN</t>
        </is>
      </c>
      <c r="E161" t="inlineStr">
        <is>
          <t>FÄRGELANDA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6210-2026</t>
        </is>
      </c>
      <c r="B162" s="1" t="n">
        <v>46055</v>
      </c>
      <c r="C162" s="1" t="n">
        <v>46199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6194-2026</t>
        </is>
      </c>
      <c r="B163" s="1" t="n">
        <v>46055</v>
      </c>
      <c r="C163" s="1" t="n">
        <v>46199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62643-2023</t>
        </is>
      </c>
      <c r="B164" s="1" t="n">
        <v>45271</v>
      </c>
      <c r="C164" s="1" t="n">
        <v>46199</v>
      </c>
      <c r="D164" t="inlineStr">
        <is>
          <t>VÄSTRA GÖTALANDS LÄN</t>
        </is>
      </c>
      <c r="E164" t="inlineStr">
        <is>
          <t>FÄRGELANDA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6206-2026</t>
        </is>
      </c>
      <c r="B165" s="1" t="n">
        <v>46055</v>
      </c>
      <c r="C165" s="1" t="n">
        <v>46199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56927-2025</t>
        </is>
      </c>
      <c r="B166" s="1" t="n">
        <v>45978</v>
      </c>
      <c r="C166" s="1" t="n">
        <v>46199</v>
      </c>
      <c r="D166" t="inlineStr">
        <is>
          <t>VÄSTRA GÖTALANDS LÄN</t>
        </is>
      </c>
      <c r="E166" t="inlineStr">
        <is>
          <t>FÄRGELANDA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7230-2026</t>
        </is>
      </c>
      <c r="B167" s="1" t="n">
        <v>46058</v>
      </c>
      <c r="C167" s="1" t="n">
        <v>46199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56715-2025</t>
        </is>
      </c>
      <c r="B168" s="1" t="n">
        <v>45975</v>
      </c>
      <c r="C168" s="1" t="n">
        <v>46199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56716-2025</t>
        </is>
      </c>
      <c r="B169" s="1" t="n">
        <v>45975</v>
      </c>
      <c r="C169" s="1" t="n">
        <v>46199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38366-2025</t>
        </is>
      </c>
      <c r="B170" s="1" t="n">
        <v>45883</v>
      </c>
      <c r="C170" s="1" t="n">
        <v>46199</v>
      </c>
      <c r="D170" t="inlineStr">
        <is>
          <t>VÄSTRA GÖTALANDS LÄN</t>
        </is>
      </c>
      <c r="E170" t="inlineStr">
        <is>
          <t>FÄRGELANDA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7909-2026</t>
        </is>
      </c>
      <c r="B171" s="1" t="n">
        <v>46063</v>
      </c>
      <c r="C171" s="1" t="n">
        <v>46199</v>
      </c>
      <c r="D171" t="inlineStr">
        <is>
          <t>VÄSTRA GÖTALANDS LÄN</t>
        </is>
      </c>
      <c r="E171" t="inlineStr">
        <is>
          <t>FÄRGELANDA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24284-2023</t>
        </is>
      </c>
      <c r="B172" s="1" t="n">
        <v>45079</v>
      </c>
      <c r="C172" s="1" t="n">
        <v>46199</v>
      </c>
      <c r="D172" t="inlineStr">
        <is>
          <t>VÄSTRA GÖTALANDS LÄN</t>
        </is>
      </c>
      <c r="E172" t="inlineStr">
        <is>
          <t>FÄRGELANDA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60321-2024</t>
        </is>
      </c>
      <c r="B173" s="1" t="n">
        <v>45643</v>
      </c>
      <c r="C173" s="1" t="n">
        <v>46199</v>
      </c>
      <c r="D173" t="inlineStr">
        <is>
          <t>VÄSTRA GÖTALANDS LÄN</t>
        </is>
      </c>
      <c r="E173" t="inlineStr">
        <is>
          <t>FÄRGELANDA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8675-2026</t>
        </is>
      </c>
      <c r="B174" s="1" t="n">
        <v>46066</v>
      </c>
      <c r="C174" s="1" t="n">
        <v>46199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9090-2026</t>
        </is>
      </c>
      <c r="B175" s="1" t="n">
        <v>46069</v>
      </c>
      <c r="C175" s="1" t="n">
        <v>46199</v>
      </c>
      <c r="D175" t="inlineStr">
        <is>
          <t>VÄSTRA GÖTALANDS LÄN</t>
        </is>
      </c>
      <c r="E175" t="inlineStr">
        <is>
          <t>FÄRGELANDA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8920-2026</t>
        </is>
      </c>
      <c r="B176" s="1" t="n">
        <v>46069</v>
      </c>
      <c r="C176" s="1" t="n">
        <v>46199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60468-2024</t>
        </is>
      </c>
      <c r="B177" s="1" t="n">
        <v>45643</v>
      </c>
      <c r="C177" s="1" t="n">
        <v>46199</v>
      </c>
      <c r="D177" t="inlineStr">
        <is>
          <t>VÄSTRA GÖTALANDS LÄN</t>
        </is>
      </c>
      <c r="E177" t="inlineStr">
        <is>
          <t>FÄRGELANDA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9418-2026</t>
        </is>
      </c>
      <c r="B178" s="1" t="n">
        <v>46071</v>
      </c>
      <c r="C178" s="1" t="n">
        <v>46199</v>
      </c>
      <c r="D178" t="inlineStr">
        <is>
          <t>VÄSTRA GÖTALANDS LÄN</t>
        </is>
      </c>
      <c r="E178" t="inlineStr">
        <is>
          <t>FÄRGELANDA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9450-2026</t>
        </is>
      </c>
      <c r="B179" s="1" t="n">
        <v>46071</v>
      </c>
      <c r="C179" s="1" t="n">
        <v>46199</v>
      </c>
      <c r="D179" t="inlineStr">
        <is>
          <t>VÄSTRA GÖTALANDS LÄN</t>
        </is>
      </c>
      <c r="E179" t="inlineStr">
        <is>
          <t>FÄRGELANDA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12198-2023</t>
        </is>
      </c>
      <c r="B180" s="1" t="n">
        <v>44998</v>
      </c>
      <c r="C180" s="1" t="n">
        <v>46199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59441-2024</t>
        </is>
      </c>
      <c r="B181" s="1" t="n">
        <v>45638</v>
      </c>
      <c r="C181" s="1" t="n">
        <v>46199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9441-2026</t>
        </is>
      </c>
      <c r="B182" s="1" t="n">
        <v>46071</v>
      </c>
      <c r="C182" s="1" t="n">
        <v>46199</v>
      </c>
      <c r="D182" t="inlineStr">
        <is>
          <t>VÄSTRA GÖTALANDS LÄN</t>
        </is>
      </c>
      <c r="E182" t="inlineStr">
        <is>
          <t>FÄRGELANDA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9451-2026</t>
        </is>
      </c>
      <c r="B183" s="1" t="n">
        <v>46071</v>
      </c>
      <c r="C183" s="1" t="n">
        <v>46199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10451-2026</t>
        </is>
      </c>
      <c r="B184" s="1" t="n">
        <v>46076</v>
      </c>
      <c r="C184" s="1" t="n">
        <v>46199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Övriga Aktiebolag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35098-2023</t>
        </is>
      </c>
      <c r="B185" s="1" t="n">
        <v>45145</v>
      </c>
      <c r="C185" s="1" t="n">
        <v>46199</v>
      </c>
      <c r="D185" t="inlineStr">
        <is>
          <t>VÄSTRA GÖTALANDS LÄN</t>
        </is>
      </c>
      <c r="E185" t="inlineStr">
        <is>
          <t>FÄRGELANDA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9980-2026</t>
        </is>
      </c>
      <c r="B186" s="1" t="n">
        <v>46073</v>
      </c>
      <c r="C186" s="1" t="n">
        <v>46199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11221-2026</t>
        </is>
      </c>
      <c r="B187" s="1" t="n">
        <v>46080</v>
      </c>
      <c r="C187" s="1" t="n">
        <v>46199</v>
      </c>
      <c r="D187" t="inlineStr">
        <is>
          <t>VÄSTRA GÖTALANDS LÄN</t>
        </is>
      </c>
      <c r="E187" t="inlineStr">
        <is>
          <t>FÄRGELANDA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11223-2026</t>
        </is>
      </c>
      <c r="B188" s="1" t="n">
        <v>46080</v>
      </c>
      <c r="C188" s="1" t="n">
        <v>46199</v>
      </c>
      <c r="D188" t="inlineStr">
        <is>
          <t>VÄSTRA GÖTALANDS LÄN</t>
        </is>
      </c>
      <c r="E188" t="inlineStr">
        <is>
          <t>FÄRGELANDA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8450-2023</t>
        </is>
      </c>
      <c r="B189" s="1" t="n">
        <v>44977</v>
      </c>
      <c r="C189" s="1" t="n">
        <v>46199</v>
      </c>
      <c r="D189" t="inlineStr">
        <is>
          <t>VÄSTRA GÖTALANDS LÄN</t>
        </is>
      </c>
      <c r="E189" t="inlineStr">
        <is>
          <t>FÄRGELANDA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12190-2026</t>
        </is>
      </c>
      <c r="B190" s="1" t="n">
        <v>46086</v>
      </c>
      <c r="C190" s="1" t="n">
        <v>46199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12349-2026</t>
        </is>
      </c>
      <c r="B191" s="1" t="n">
        <v>46087</v>
      </c>
      <c r="C191" s="1" t="n">
        <v>46199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12110-2026</t>
        </is>
      </c>
      <c r="B192" s="1" t="n">
        <v>46086</v>
      </c>
      <c r="C192" s="1" t="n">
        <v>46199</v>
      </c>
      <c r="D192" t="inlineStr">
        <is>
          <t>VÄSTRA GÖTALANDS LÄN</t>
        </is>
      </c>
      <c r="E192" t="inlineStr">
        <is>
          <t>FÄRGELANDA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12460-2026</t>
        </is>
      </c>
      <c r="B193" s="1" t="n">
        <v>46090</v>
      </c>
      <c r="C193" s="1" t="n">
        <v>46199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12824-2026</t>
        </is>
      </c>
      <c r="B194" s="1" t="n">
        <v>46091</v>
      </c>
      <c r="C194" s="1" t="n">
        <v>46199</v>
      </c>
      <c r="D194" t="inlineStr">
        <is>
          <t>VÄSTRA GÖTALANDS LÄN</t>
        </is>
      </c>
      <c r="E194" t="inlineStr">
        <is>
          <t>FÄRGELANDA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13522-2026</t>
        </is>
      </c>
      <c r="B195" s="1" t="n">
        <v>46094</v>
      </c>
      <c r="C195" s="1" t="n">
        <v>46199</v>
      </c>
      <c r="D195" t="inlineStr">
        <is>
          <t>VÄSTRA GÖTALANDS LÄN</t>
        </is>
      </c>
      <c r="E195" t="inlineStr">
        <is>
          <t>FÄRGELANDA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14813-2023</t>
        </is>
      </c>
      <c r="B196" s="1" t="n">
        <v>45014</v>
      </c>
      <c r="C196" s="1" t="n">
        <v>46199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27841-2023</t>
        </is>
      </c>
      <c r="B197" s="1" t="n">
        <v>45098</v>
      </c>
      <c r="C197" s="1" t="n">
        <v>46199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14662-2026</t>
        </is>
      </c>
      <c r="B198" s="1" t="n">
        <v>46101</v>
      </c>
      <c r="C198" s="1" t="n">
        <v>46199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4525-2025</t>
        </is>
      </c>
      <c r="B199" s="1" t="n">
        <v>45687</v>
      </c>
      <c r="C199" s="1" t="n">
        <v>46199</v>
      </c>
      <c r="D199" t="inlineStr">
        <is>
          <t>VÄSTRA GÖTALANDS LÄN</t>
        </is>
      </c>
      <c r="E199" t="inlineStr">
        <is>
          <t>FÄRGELANDA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66955-2021</t>
        </is>
      </c>
      <c r="B200" s="1" t="n">
        <v>44522</v>
      </c>
      <c r="C200" s="1" t="n">
        <v>46199</v>
      </c>
      <c r="D200" t="inlineStr">
        <is>
          <t>VÄSTRA GÖTALANDS LÄN</t>
        </is>
      </c>
      <c r="E200" t="inlineStr">
        <is>
          <t>FÄRGELANDA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20359-2025</t>
        </is>
      </c>
      <c r="B201" s="1" t="n">
        <v>45775</v>
      </c>
      <c r="C201" s="1" t="n">
        <v>46199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35761-2021</t>
        </is>
      </c>
      <c r="B202" s="1" t="n">
        <v>44386</v>
      </c>
      <c r="C202" s="1" t="n">
        <v>46199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15685-2026</t>
        </is>
      </c>
      <c r="B203" s="1" t="n">
        <v>46107</v>
      </c>
      <c r="C203" s="1" t="n">
        <v>46199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16833-2026</t>
        </is>
      </c>
      <c r="B204" s="1" t="n">
        <v>46113</v>
      </c>
      <c r="C204" s="1" t="n">
        <v>46199</v>
      </c>
      <c r="D204" t="inlineStr">
        <is>
          <t>VÄSTRA GÖTALANDS LÄN</t>
        </is>
      </c>
      <c r="E204" t="inlineStr">
        <is>
          <t>FÄRGELANDA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16836-2026</t>
        </is>
      </c>
      <c r="B205" s="1" t="n">
        <v>46113</v>
      </c>
      <c r="C205" s="1" t="n">
        <v>46199</v>
      </c>
      <c r="D205" t="inlineStr">
        <is>
          <t>VÄSTRA GÖTALANDS LÄN</t>
        </is>
      </c>
      <c r="E205" t="inlineStr">
        <is>
          <t>FÄRGELANDA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22722-2023</t>
        </is>
      </c>
      <c r="B206" s="1" t="n">
        <v>45071</v>
      </c>
      <c r="C206" s="1" t="n">
        <v>46199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61642-2022</t>
        </is>
      </c>
      <c r="B207" s="1" t="n">
        <v>44916</v>
      </c>
      <c r="C207" s="1" t="n">
        <v>46199</v>
      </c>
      <c r="D207" t="inlineStr">
        <is>
          <t>VÄSTRA GÖTALANDS LÄN</t>
        </is>
      </c>
      <c r="E207" t="inlineStr">
        <is>
          <t>FÄRGELANDA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35845-2024</t>
        </is>
      </c>
      <c r="B208" s="1" t="n">
        <v>45532</v>
      </c>
      <c r="C208" s="1" t="n">
        <v>46199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17375-2026</t>
        </is>
      </c>
      <c r="B209" s="1" t="n">
        <v>46119</v>
      </c>
      <c r="C209" s="1" t="n">
        <v>46199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60766-2023</t>
        </is>
      </c>
      <c r="B210" s="1" t="n">
        <v>45260</v>
      </c>
      <c r="C210" s="1" t="n">
        <v>46199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17749-2026</t>
        </is>
      </c>
      <c r="B211" s="1" t="n">
        <v>46121</v>
      </c>
      <c r="C211" s="1" t="n">
        <v>46199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17777-2026</t>
        </is>
      </c>
      <c r="B212" s="1" t="n">
        <v>46121</v>
      </c>
      <c r="C212" s="1" t="n">
        <v>46199</v>
      </c>
      <c r="D212" t="inlineStr">
        <is>
          <t>VÄSTRA GÖTALANDS LÄN</t>
        </is>
      </c>
      <c r="E212" t="inlineStr">
        <is>
          <t>FÄRGELANDA</t>
        </is>
      </c>
      <c r="F212" t="inlineStr">
        <is>
          <t>Övriga Aktiebolag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49825-2023</t>
        </is>
      </c>
      <c r="B213" s="1" t="n">
        <v>45212</v>
      </c>
      <c r="C213" s="1" t="n">
        <v>46199</v>
      </c>
      <c r="D213" t="inlineStr">
        <is>
          <t>VÄSTRA GÖTALANDS LÄN</t>
        </is>
      </c>
      <c r="E213" t="inlineStr">
        <is>
          <t>FÄRGELANDA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17646-2026</t>
        </is>
      </c>
      <c r="B214" s="1" t="n">
        <v>46121</v>
      </c>
      <c r="C214" s="1" t="n">
        <v>46199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17887-2026</t>
        </is>
      </c>
      <c r="B215" s="1" t="n">
        <v>46121</v>
      </c>
      <c r="C215" s="1" t="n">
        <v>46199</v>
      </c>
      <c r="D215" t="inlineStr">
        <is>
          <t>VÄSTRA GÖTALANDS LÄN</t>
        </is>
      </c>
      <c r="E215" t="inlineStr">
        <is>
          <t>FÄRGELANDA</t>
        </is>
      </c>
      <c r="F215" t="inlineStr">
        <is>
          <t>Övriga Aktiebolag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17696-2026</t>
        </is>
      </c>
      <c r="B216" s="1" t="n">
        <v>46121</v>
      </c>
      <c r="C216" s="1" t="n">
        <v>46199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17391-2026</t>
        </is>
      </c>
      <c r="B217" s="1" t="n">
        <v>46119</v>
      </c>
      <c r="C217" s="1" t="n">
        <v>46199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61431-2022</t>
        </is>
      </c>
      <c r="B218" s="1" t="n">
        <v>44916</v>
      </c>
      <c r="C218" s="1" t="n">
        <v>46199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18070-2026</t>
        </is>
      </c>
      <c r="B219" s="1" t="n">
        <v>46125</v>
      </c>
      <c r="C219" s="1" t="n">
        <v>46199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57267-2022</t>
        </is>
      </c>
      <c r="B220" s="1" t="n">
        <v>44895</v>
      </c>
      <c r="C220" s="1" t="n">
        <v>46199</v>
      </c>
      <c r="D220" t="inlineStr">
        <is>
          <t>VÄSTRA GÖTALANDS LÄN</t>
        </is>
      </c>
      <c r="E220" t="inlineStr">
        <is>
          <t>FÄRGELANDA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17991-2026</t>
        </is>
      </c>
      <c r="B221" s="1" t="n">
        <v>46124</v>
      </c>
      <c r="C221" s="1" t="n">
        <v>46199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46041-2021</t>
        </is>
      </c>
      <c r="B222" s="1" t="n">
        <v>44441</v>
      </c>
      <c r="C222" s="1" t="n">
        <v>46199</v>
      </c>
      <c r="D222" t="inlineStr">
        <is>
          <t>VÄSTRA GÖTALANDS LÄN</t>
        </is>
      </c>
      <c r="E222" t="inlineStr">
        <is>
          <t>FÄRGELANDA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23826-2026</t>
        </is>
      </c>
      <c r="B223" s="1" t="n">
        <v>46166</v>
      </c>
      <c r="C223" s="1" t="n">
        <v>46199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59022-2023</t>
        </is>
      </c>
      <c r="B224" s="1" t="n">
        <v>45252</v>
      </c>
      <c r="C224" s="1" t="n">
        <v>46199</v>
      </c>
      <c r="D224" t="inlineStr">
        <is>
          <t>VÄSTRA GÖTALANDS LÄN</t>
        </is>
      </c>
      <c r="E224" t="inlineStr">
        <is>
          <t>FÄRGELANDA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59025-2023</t>
        </is>
      </c>
      <c r="B225" s="1" t="n">
        <v>45252</v>
      </c>
      <c r="C225" s="1" t="n">
        <v>46199</v>
      </c>
      <c r="D225" t="inlineStr">
        <is>
          <t>VÄSTRA GÖTALANDS LÄN</t>
        </is>
      </c>
      <c r="E225" t="inlineStr">
        <is>
          <t>FÄRGELANDA</t>
        </is>
      </c>
      <c r="G225" t="n">
        <v>44.5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52151-2022</t>
        </is>
      </c>
      <c r="B226" s="1" t="n">
        <v>44873</v>
      </c>
      <c r="C226" s="1" t="n">
        <v>46199</v>
      </c>
      <c r="D226" t="inlineStr">
        <is>
          <t>VÄSTRA GÖTALANDS LÄN</t>
        </is>
      </c>
      <c r="E226" t="inlineStr">
        <is>
          <t>FÄRGELANDA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15043-2023</t>
        </is>
      </c>
      <c r="B227" s="1" t="n">
        <v>45015</v>
      </c>
      <c r="C227" s="1" t="n">
        <v>46199</v>
      </c>
      <c r="D227" t="inlineStr">
        <is>
          <t>VÄSTRA GÖTALANDS LÄN</t>
        </is>
      </c>
      <c r="E227" t="inlineStr">
        <is>
          <t>FÄRGELANDA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17640-2025</t>
        </is>
      </c>
      <c r="B228" s="1" t="n">
        <v>45758</v>
      </c>
      <c r="C228" s="1" t="n">
        <v>46199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18638-2026</t>
        </is>
      </c>
      <c r="B229" s="1" t="n">
        <v>46128</v>
      </c>
      <c r="C229" s="1" t="n">
        <v>46199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55310-2023</t>
        </is>
      </c>
      <c r="B230" s="1" t="n">
        <v>45237</v>
      </c>
      <c r="C230" s="1" t="n">
        <v>46199</v>
      </c>
      <c r="D230" t="inlineStr">
        <is>
          <t>VÄSTRA GÖTALANDS LÄN</t>
        </is>
      </c>
      <c r="E230" t="inlineStr">
        <is>
          <t>FÄRGELANDA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19494-2026</t>
        </is>
      </c>
      <c r="B231" s="1" t="n">
        <v>46134</v>
      </c>
      <c r="C231" s="1" t="n">
        <v>46199</v>
      </c>
      <c r="D231" t="inlineStr">
        <is>
          <t>VÄSTRA GÖTALANDS LÄN</t>
        </is>
      </c>
      <c r="E231" t="inlineStr">
        <is>
          <t>FÄRGELANDA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2301-2022</t>
        </is>
      </c>
      <c r="B232" s="1" t="n">
        <v>44578</v>
      </c>
      <c r="C232" s="1" t="n">
        <v>46199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21311-2023</t>
        </is>
      </c>
      <c r="B233" s="1" t="n">
        <v>45062</v>
      </c>
      <c r="C233" s="1" t="n">
        <v>46199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29014-2024</t>
        </is>
      </c>
      <c r="B234" s="1" t="n">
        <v>45481</v>
      </c>
      <c r="C234" s="1" t="n">
        <v>46199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24075-2023</t>
        </is>
      </c>
      <c r="B235" s="1" t="n">
        <v>45078</v>
      </c>
      <c r="C235" s="1" t="n">
        <v>46199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8257-2023</t>
        </is>
      </c>
      <c r="B236" s="1" t="n">
        <v>44974</v>
      </c>
      <c r="C236" s="1" t="n">
        <v>46199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25568-2026</t>
        </is>
      </c>
      <c r="B237" s="1" t="n">
        <v>46177</v>
      </c>
      <c r="C237" s="1" t="n">
        <v>46199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20046-2026</t>
        </is>
      </c>
      <c r="B238" s="1" t="n">
        <v>46136</v>
      </c>
      <c r="C238" s="1" t="n">
        <v>46199</v>
      </c>
      <c r="D238" t="inlineStr">
        <is>
          <t>VÄSTRA GÖTALANDS LÄN</t>
        </is>
      </c>
      <c r="E238" t="inlineStr">
        <is>
          <t>FÄRGELANDA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18003-2023</t>
        </is>
      </c>
      <c r="B239" s="1" t="n">
        <v>45040</v>
      </c>
      <c r="C239" s="1" t="n">
        <v>46199</v>
      </c>
      <c r="D239" t="inlineStr">
        <is>
          <t>VÄSTRA GÖTALANDS LÄN</t>
        </is>
      </c>
      <c r="E239" t="inlineStr">
        <is>
          <t>FÄRGELANDA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26883-2024</t>
        </is>
      </c>
      <c r="B240" s="1" t="n">
        <v>45470</v>
      </c>
      <c r="C240" s="1" t="n">
        <v>46199</v>
      </c>
      <c r="D240" t="inlineStr">
        <is>
          <t>VÄSTRA GÖTALANDS LÄN</t>
        </is>
      </c>
      <c r="E240" t="inlineStr">
        <is>
          <t>FÄRGELANDA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46534-2024</t>
        </is>
      </c>
      <c r="B241" s="1" t="n">
        <v>45582</v>
      </c>
      <c r="C241" s="1" t="n">
        <v>46199</v>
      </c>
      <c r="D241" t="inlineStr">
        <is>
          <t>VÄSTRA GÖTALANDS LÄN</t>
        </is>
      </c>
      <c r="E241" t="inlineStr">
        <is>
          <t>FÄRGELANDA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13559-2024</t>
        </is>
      </c>
      <c r="B242" s="1" t="n">
        <v>45388</v>
      </c>
      <c r="C242" s="1" t="n">
        <v>46199</v>
      </c>
      <c r="D242" t="inlineStr">
        <is>
          <t>VÄSTRA GÖTALANDS LÄN</t>
        </is>
      </c>
      <c r="E242" t="inlineStr">
        <is>
          <t>FÄRGELANDA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42257-2025</t>
        </is>
      </c>
      <c r="B243" s="1" t="n">
        <v>45904</v>
      </c>
      <c r="C243" s="1" t="n">
        <v>46199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56614-2022</t>
        </is>
      </c>
      <c r="B244" s="1" t="n">
        <v>44893</v>
      </c>
      <c r="C244" s="1" t="n">
        <v>46199</v>
      </c>
      <c r="D244" t="inlineStr">
        <is>
          <t>VÄSTRA GÖTALANDS LÄN</t>
        </is>
      </c>
      <c r="E244" t="inlineStr">
        <is>
          <t>FÄRGELANDA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25826-2024</t>
        </is>
      </c>
      <c r="B245" s="1" t="n">
        <v>45467</v>
      </c>
      <c r="C245" s="1" t="n">
        <v>46199</v>
      </c>
      <c r="D245" t="inlineStr">
        <is>
          <t>VÄSTRA GÖTALANDS LÄN</t>
        </is>
      </c>
      <c r="E245" t="inlineStr">
        <is>
          <t>FÄRGELANDA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17129-2023</t>
        </is>
      </c>
      <c r="B246" s="1" t="n">
        <v>45034</v>
      </c>
      <c r="C246" s="1" t="n">
        <v>46199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12533-2025</t>
        </is>
      </c>
      <c r="B247" s="1" t="n">
        <v>45730</v>
      </c>
      <c r="C247" s="1" t="n">
        <v>46199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20861-2025</t>
        </is>
      </c>
      <c r="B248" s="1" t="n">
        <v>45777</v>
      </c>
      <c r="C248" s="1" t="n">
        <v>46199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2798-2022</t>
        </is>
      </c>
      <c r="B249" s="1" t="n">
        <v>44581</v>
      </c>
      <c r="C249" s="1" t="n">
        <v>46199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5506-2025</t>
        </is>
      </c>
      <c r="B250" s="1" t="n">
        <v>45693</v>
      </c>
      <c r="C250" s="1" t="n">
        <v>46199</v>
      </c>
      <c r="D250" t="inlineStr">
        <is>
          <t>VÄSTRA GÖTALANDS LÄN</t>
        </is>
      </c>
      <c r="E250" t="inlineStr">
        <is>
          <t>FÄRGELANDA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60330-2024</t>
        </is>
      </c>
      <c r="B251" s="1" t="n">
        <v>45643</v>
      </c>
      <c r="C251" s="1" t="n">
        <v>46199</v>
      </c>
      <c r="D251" t="inlineStr">
        <is>
          <t>VÄSTRA GÖTALANDS LÄN</t>
        </is>
      </c>
      <c r="E251" t="inlineStr">
        <is>
          <t>FÄRGELANDA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20266-2026</t>
        </is>
      </c>
      <c r="B252" s="1" t="n">
        <v>46139</v>
      </c>
      <c r="C252" s="1" t="n">
        <v>46199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17565-2026</t>
        </is>
      </c>
      <c r="B253" s="1" t="n">
        <v>46121</v>
      </c>
      <c r="C253" s="1" t="n">
        <v>46199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5437-2022</t>
        </is>
      </c>
      <c r="B254" s="1" t="n">
        <v>44595</v>
      </c>
      <c r="C254" s="1" t="n">
        <v>46199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28530-2024</t>
        </is>
      </c>
      <c r="B255" s="1" t="n">
        <v>45478</v>
      </c>
      <c r="C255" s="1" t="n">
        <v>46199</v>
      </c>
      <c r="D255" t="inlineStr">
        <is>
          <t>VÄSTRA GÖTALANDS LÄN</t>
        </is>
      </c>
      <c r="E255" t="inlineStr">
        <is>
          <t>FÄRGELANDA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40221-2025</t>
        </is>
      </c>
      <c r="B256" s="1" t="n">
        <v>45894</v>
      </c>
      <c r="C256" s="1" t="n">
        <v>46199</v>
      </c>
      <c r="D256" t="inlineStr">
        <is>
          <t>VÄSTRA GÖTALANDS LÄN</t>
        </is>
      </c>
      <c r="E256" t="inlineStr">
        <is>
          <t>FÄRGELANDA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36606-2023</t>
        </is>
      </c>
      <c r="B257" s="1" t="n">
        <v>45153</v>
      </c>
      <c r="C257" s="1" t="n">
        <v>46199</v>
      </c>
      <c r="D257" t="inlineStr">
        <is>
          <t>VÄSTRA GÖTALANDS LÄN</t>
        </is>
      </c>
      <c r="E257" t="inlineStr">
        <is>
          <t>FÄRGELANDA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40630-2023</t>
        </is>
      </c>
      <c r="B258" s="1" t="n">
        <v>45170</v>
      </c>
      <c r="C258" s="1" t="n">
        <v>46199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3010-2024</t>
        </is>
      </c>
      <c r="B259" s="1" t="n">
        <v>45315</v>
      </c>
      <c r="C259" s="1" t="n">
        <v>46199</v>
      </c>
      <c r="D259" t="inlineStr">
        <is>
          <t>VÄSTRA GÖTALANDS LÄN</t>
        </is>
      </c>
      <c r="E259" t="inlineStr">
        <is>
          <t>FÄRGELANDA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2948-2026</t>
        </is>
      </c>
      <c r="B260" s="1" t="n">
        <v>46038</v>
      </c>
      <c r="C260" s="1" t="n">
        <v>46199</v>
      </c>
      <c r="D260" t="inlineStr">
        <is>
          <t>VÄSTRA GÖTALANDS LÄN</t>
        </is>
      </c>
      <c r="E260" t="inlineStr">
        <is>
          <t>FÄRGELANDA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5515-2025</t>
        </is>
      </c>
      <c r="B261" s="1" t="n">
        <v>45693</v>
      </c>
      <c r="C261" s="1" t="n">
        <v>46199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26108-2023</t>
        </is>
      </c>
      <c r="B262" s="1" t="n">
        <v>45091</v>
      </c>
      <c r="C262" s="1" t="n">
        <v>46199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51468-2025</t>
        </is>
      </c>
      <c r="B263" s="1" t="n">
        <v>45950</v>
      </c>
      <c r="C263" s="1" t="n">
        <v>46199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42402-2023</t>
        </is>
      </c>
      <c r="B264" s="1" t="n">
        <v>45180</v>
      </c>
      <c r="C264" s="1" t="n">
        <v>46199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2117-2022</t>
        </is>
      </c>
      <c r="B265" s="1" t="n">
        <v>44578</v>
      </c>
      <c r="C265" s="1" t="n">
        <v>46199</v>
      </c>
      <c r="D265" t="inlineStr">
        <is>
          <t>VÄSTRA GÖTALANDS LÄN</t>
        </is>
      </c>
      <c r="E265" t="inlineStr">
        <is>
          <t>FÄRGELANDA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3882-2025</t>
        </is>
      </c>
      <c r="B266" s="1" t="n">
        <v>45684</v>
      </c>
      <c r="C266" s="1" t="n">
        <v>46199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57557-2024</t>
        </is>
      </c>
      <c r="B267" s="1" t="n">
        <v>45630</v>
      </c>
      <c r="C267" s="1" t="n">
        <v>46199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48850-2023</t>
        </is>
      </c>
      <c r="B268" s="1" t="n">
        <v>45209</v>
      </c>
      <c r="C268" s="1" t="n">
        <v>46199</v>
      </c>
      <c r="D268" t="inlineStr">
        <is>
          <t>VÄSTRA GÖTALANDS LÄN</t>
        </is>
      </c>
      <c r="E268" t="inlineStr">
        <is>
          <t>FÄRGELANDA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59960-2024</t>
        </is>
      </c>
      <c r="B269" s="1" t="n">
        <v>45642</v>
      </c>
      <c r="C269" s="1" t="n">
        <v>46199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18538-2022</t>
        </is>
      </c>
      <c r="B270" s="1" t="n">
        <v>44686</v>
      </c>
      <c r="C270" s="1" t="n">
        <v>46199</v>
      </c>
      <c r="D270" t="inlineStr">
        <is>
          <t>VÄSTRA GÖTALANDS LÄN</t>
        </is>
      </c>
      <c r="E270" t="inlineStr">
        <is>
          <t>FÄRGELANDA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51019-2023</t>
        </is>
      </c>
      <c r="B271" s="1" t="n">
        <v>45218</v>
      </c>
      <c r="C271" s="1" t="n">
        <v>46199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28803-2022</t>
        </is>
      </c>
      <c r="B272" s="1" t="n">
        <v>44749</v>
      </c>
      <c r="C272" s="1" t="n">
        <v>46199</v>
      </c>
      <c r="D272" t="inlineStr">
        <is>
          <t>VÄSTRA GÖTALANDS LÄN</t>
        </is>
      </c>
      <c r="E272" t="inlineStr">
        <is>
          <t>FÄRGELANDA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18188-2024</t>
        </is>
      </c>
      <c r="B273" s="1" t="n">
        <v>45420</v>
      </c>
      <c r="C273" s="1" t="n">
        <v>46199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44796-2022</t>
        </is>
      </c>
      <c r="B274" s="1" t="n">
        <v>44841</v>
      </c>
      <c r="C274" s="1" t="n">
        <v>46199</v>
      </c>
      <c r="D274" t="inlineStr">
        <is>
          <t>VÄSTRA GÖTALANDS LÄN</t>
        </is>
      </c>
      <c r="E274" t="inlineStr">
        <is>
          <t>FÄRGELANDA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27284-2026</t>
        </is>
      </c>
      <c r="B275" s="1" t="n">
        <v>46188</v>
      </c>
      <c r="C275" s="1" t="n">
        <v>46199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27593-2026</t>
        </is>
      </c>
      <c r="B276" s="1" t="n">
        <v>46190</v>
      </c>
      <c r="C276" s="1" t="n">
        <v>46199</v>
      </c>
      <c r="D276" t="inlineStr">
        <is>
          <t>VÄSTRA GÖTALANDS LÄN</t>
        </is>
      </c>
      <c r="E276" t="inlineStr">
        <is>
          <t>FÄRGELANDA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37784-2023</t>
        </is>
      </c>
      <c r="B277" s="1" t="n">
        <v>45159</v>
      </c>
      <c r="C277" s="1" t="n">
        <v>46199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37787-2023</t>
        </is>
      </c>
      <c r="B278" s="1" t="n">
        <v>45159</v>
      </c>
      <c r="C278" s="1" t="n">
        <v>46199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37788-2023</t>
        </is>
      </c>
      <c r="B279" s="1" t="n">
        <v>45159</v>
      </c>
      <c r="C279" s="1" t="n">
        <v>46199</v>
      </c>
      <c r="D279" t="inlineStr">
        <is>
          <t>VÄSTRA GÖTALANDS LÄN</t>
        </is>
      </c>
      <c r="E279" t="inlineStr">
        <is>
          <t>FÄRGELANDA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59020-2023</t>
        </is>
      </c>
      <c r="B280" s="1" t="n">
        <v>45252</v>
      </c>
      <c r="C280" s="1" t="n">
        <v>46199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50046-2023</t>
        </is>
      </c>
      <c r="B281" s="1" t="n">
        <v>45215</v>
      </c>
      <c r="C281" s="1" t="n">
        <v>46199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35844-2024</t>
        </is>
      </c>
      <c r="B282" s="1" t="n">
        <v>45532</v>
      </c>
      <c r="C282" s="1" t="n">
        <v>46199</v>
      </c>
      <c r="D282" t="inlineStr">
        <is>
          <t>VÄSTRA GÖTALANDS LÄN</t>
        </is>
      </c>
      <c r="E282" t="inlineStr">
        <is>
          <t>FÄRGELANDA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30993-2022</t>
        </is>
      </c>
      <c r="B283" s="1" t="n">
        <v>44768</v>
      </c>
      <c r="C283" s="1" t="n">
        <v>46199</v>
      </c>
      <c r="D283" t="inlineStr">
        <is>
          <t>VÄSTRA GÖTALANDS LÄN</t>
        </is>
      </c>
      <c r="E283" t="inlineStr">
        <is>
          <t>FÄRGELANDA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27926-2026</t>
        </is>
      </c>
      <c r="B284" s="1" t="n">
        <v>46191</v>
      </c>
      <c r="C284" s="1" t="n">
        <v>46199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21547-2022</t>
        </is>
      </c>
      <c r="B285" s="1" t="n">
        <v>44706</v>
      </c>
      <c r="C285" s="1" t="n">
        <v>46199</v>
      </c>
      <c r="D285" t="inlineStr">
        <is>
          <t>VÄSTRA GÖTALANDS LÄN</t>
        </is>
      </c>
      <c r="E285" t="inlineStr">
        <is>
          <t>FÄRGELANDA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21897-2026</t>
        </is>
      </c>
      <c r="B286" s="1" t="n">
        <v>46150</v>
      </c>
      <c r="C286" s="1" t="n">
        <v>46199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46037-2023</t>
        </is>
      </c>
      <c r="B287" s="1" t="n">
        <v>45196</v>
      </c>
      <c r="C287" s="1" t="n">
        <v>46199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51434-2022</t>
        </is>
      </c>
      <c r="B288" s="1" t="n">
        <v>44869</v>
      </c>
      <c r="C288" s="1" t="n">
        <v>46199</v>
      </c>
      <c r="D288" t="inlineStr">
        <is>
          <t>VÄSTRA GÖTALANDS LÄN</t>
        </is>
      </c>
      <c r="E288" t="inlineStr">
        <is>
          <t>FÄRGELANDA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56616-2022</t>
        </is>
      </c>
      <c r="B289" s="1" t="n">
        <v>44893</v>
      </c>
      <c r="C289" s="1" t="n">
        <v>46199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10381-2022</t>
        </is>
      </c>
      <c r="B290" s="1" t="n">
        <v>44623</v>
      </c>
      <c r="C290" s="1" t="n">
        <v>46199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46-2024</t>
        </is>
      </c>
      <c r="B291" s="1" t="n">
        <v>45293</v>
      </c>
      <c r="C291" s="1" t="n">
        <v>46199</v>
      </c>
      <c r="D291" t="inlineStr">
        <is>
          <t>VÄSTRA GÖTALANDS LÄN</t>
        </is>
      </c>
      <c r="E291" t="inlineStr">
        <is>
          <t>FÄRGELANDA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28163-2026</t>
        </is>
      </c>
      <c r="B292" s="1" t="n">
        <v>46195</v>
      </c>
      <c r="C292" s="1" t="n">
        <v>46199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47461-2023</t>
        </is>
      </c>
      <c r="B293" s="1" t="n">
        <v>45202</v>
      </c>
      <c r="C293" s="1" t="n">
        <v>46199</v>
      </c>
      <c r="D293" t="inlineStr">
        <is>
          <t>VÄSTRA GÖTALANDS LÄN</t>
        </is>
      </c>
      <c r="E293" t="inlineStr">
        <is>
          <t>FÄRGELANDA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53559-2022</t>
        </is>
      </c>
      <c r="B294" s="1" t="n">
        <v>44879</v>
      </c>
      <c r="C294" s="1" t="n">
        <v>46199</v>
      </c>
      <c r="D294" t="inlineStr">
        <is>
          <t>VÄSTRA GÖTALANDS LÄN</t>
        </is>
      </c>
      <c r="E294" t="inlineStr">
        <is>
          <t>FÄRGELANDA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28106-2026</t>
        </is>
      </c>
      <c r="B295" s="1" t="n">
        <v>46195</v>
      </c>
      <c r="C295" s="1" t="n">
        <v>46199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22679-2026</t>
        </is>
      </c>
      <c r="B296" s="1" t="n">
        <v>46156</v>
      </c>
      <c r="C296" s="1" t="n">
        <v>46199</v>
      </c>
      <c r="D296" t="inlineStr">
        <is>
          <t>VÄSTRA GÖTALANDS LÄN</t>
        </is>
      </c>
      <c r="E296" t="inlineStr">
        <is>
          <t>FÄRGELANDA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72612-2021</t>
        </is>
      </c>
      <c r="B297" s="1" t="n">
        <v>44546</v>
      </c>
      <c r="C297" s="1" t="n">
        <v>46199</v>
      </c>
      <c r="D297" t="inlineStr">
        <is>
          <t>VÄSTRA GÖTALANDS LÄN</t>
        </is>
      </c>
      <c r="E297" t="inlineStr">
        <is>
          <t>FÄRGELANDA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62146-2023</t>
        </is>
      </c>
      <c r="B298" s="1" t="n">
        <v>45267</v>
      </c>
      <c r="C298" s="1" t="n">
        <v>46199</v>
      </c>
      <c r="D298" t="inlineStr">
        <is>
          <t>VÄSTRA GÖTALANDS LÄN</t>
        </is>
      </c>
      <c r="E298" t="inlineStr">
        <is>
          <t>FÄRGELANDA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4285-2025</t>
        </is>
      </c>
      <c r="B299" s="1" t="n">
        <v>45685</v>
      </c>
      <c r="C299" s="1" t="n">
        <v>46199</v>
      </c>
      <c r="D299" t="inlineStr">
        <is>
          <t>VÄSTRA GÖTALANDS LÄN</t>
        </is>
      </c>
      <c r="E299" t="inlineStr">
        <is>
          <t>FÄRGELANDA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61698-2021</t>
        </is>
      </c>
      <c r="B300" s="1" t="n">
        <v>44501</v>
      </c>
      <c r="C300" s="1" t="n">
        <v>46199</v>
      </c>
      <c r="D300" t="inlineStr">
        <is>
          <t>VÄSTRA GÖTALANDS LÄN</t>
        </is>
      </c>
      <c r="E300" t="inlineStr">
        <is>
          <t>FÄRGELANDA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16917-2025</t>
        </is>
      </c>
      <c r="B301" s="1" t="n">
        <v>45755</v>
      </c>
      <c r="C301" s="1" t="n">
        <v>46199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50454-2021</t>
        </is>
      </c>
      <c r="B302" s="1" t="n">
        <v>44459</v>
      </c>
      <c r="C302" s="1" t="n">
        <v>46199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17586-2023</t>
        </is>
      </c>
      <c r="B303" s="1" t="n">
        <v>45034</v>
      </c>
      <c r="C303" s="1" t="n">
        <v>46199</v>
      </c>
      <c r="D303" t="inlineStr">
        <is>
          <t>VÄSTRA GÖTALANDS LÄN</t>
        </is>
      </c>
      <c r="E303" t="inlineStr">
        <is>
          <t>FÄRGELANDA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22721-2023</t>
        </is>
      </c>
      <c r="B304" s="1" t="n">
        <v>45071</v>
      </c>
      <c r="C304" s="1" t="n">
        <v>46199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46040-2021</t>
        </is>
      </c>
      <c r="B305" s="1" t="n">
        <v>44441</v>
      </c>
      <c r="C305" s="1" t="n">
        <v>46199</v>
      </c>
      <c r="D305" t="inlineStr">
        <is>
          <t>VÄSTRA GÖTALANDS LÄN</t>
        </is>
      </c>
      <c r="E305" t="inlineStr">
        <is>
          <t>FÄRGELANDA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5436-2022</t>
        </is>
      </c>
      <c r="B306" s="1" t="n">
        <v>44595</v>
      </c>
      <c r="C306" s="1" t="n">
        <v>46199</v>
      </c>
      <c r="D306" t="inlineStr">
        <is>
          <t>VÄSTRA GÖTALANDS LÄN</t>
        </is>
      </c>
      <c r="E306" t="inlineStr">
        <is>
          <t>FÄRGELANDA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1944-2024</t>
        </is>
      </c>
      <c r="B307" s="1" t="n">
        <v>45308</v>
      </c>
      <c r="C307" s="1" t="n">
        <v>46199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21588-2022</t>
        </is>
      </c>
      <c r="B308" s="1" t="n">
        <v>44706</v>
      </c>
      <c r="C308" s="1" t="n">
        <v>46199</v>
      </c>
      <c r="D308" t="inlineStr">
        <is>
          <t>VÄSTRA GÖTALANDS LÄN</t>
        </is>
      </c>
      <c r="E308" t="inlineStr">
        <is>
          <t>FÄRGELANDA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61915-2022</t>
        </is>
      </c>
      <c r="B309" s="1" t="n">
        <v>44917</v>
      </c>
      <c r="C309" s="1" t="n">
        <v>46199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18932-2024</t>
        </is>
      </c>
      <c r="B310" s="1" t="n">
        <v>45427</v>
      </c>
      <c r="C310" s="1" t="n">
        <v>46199</v>
      </c>
      <c r="D310" t="inlineStr">
        <is>
          <t>VÄSTRA GÖTALANDS LÄN</t>
        </is>
      </c>
      <c r="E310" t="inlineStr">
        <is>
          <t>FÄRGELANDA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53584-2024</t>
        </is>
      </c>
      <c r="B311" s="1" t="n">
        <v>45614</v>
      </c>
      <c r="C311" s="1" t="n">
        <v>46199</v>
      </c>
      <c r="D311" t="inlineStr">
        <is>
          <t>VÄSTRA GÖTALANDS LÄN</t>
        </is>
      </c>
      <c r="E311" t="inlineStr">
        <is>
          <t>FÄRGELANDA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1021-2023</t>
        </is>
      </c>
      <c r="B312" s="1" t="n">
        <v>44935</v>
      </c>
      <c r="C312" s="1" t="n">
        <v>46199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149-2023</t>
        </is>
      </c>
      <c r="B313" s="1" t="n">
        <v>44928</v>
      </c>
      <c r="C313" s="1" t="n">
        <v>46199</v>
      </c>
      <c r="D313" t="inlineStr">
        <is>
          <t>VÄSTRA GÖTALANDS LÄN</t>
        </is>
      </c>
      <c r="E313" t="inlineStr">
        <is>
          <t>FÄRGELANDA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8819-2025</t>
        </is>
      </c>
      <c r="B314" s="1" t="n">
        <v>45712</v>
      </c>
      <c r="C314" s="1" t="n">
        <v>46199</v>
      </c>
      <c r="D314" t="inlineStr">
        <is>
          <t>VÄSTRA GÖTALANDS LÄN</t>
        </is>
      </c>
      <c r="E314" t="inlineStr">
        <is>
          <t>FÄRGELANDA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13960-2024</t>
        </is>
      </c>
      <c r="B315" s="1" t="n">
        <v>45392</v>
      </c>
      <c r="C315" s="1" t="n">
        <v>46199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19386-2023</t>
        </is>
      </c>
      <c r="B316" s="1" t="n">
        <v>45049</v>
      </c>
      <c r="C316" s="1" t="n">
        <v>46199</v>
      </c>
      <c r="D316" t="inlineStr">
        <is>
          <t>VÄSTRA GÖTALANDS LÄN</t>
        </is>
      </c>
      <c r="E316" t="inlineStr">
        <is>
          <t>FÄRGELANDA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39962-2023</t>
        </is>
      </c>
      <c r="B317" s="1" t="n">
        <v>45168</v>
      </c>
      <c r="C317" s="1" t="n">
        <v>46199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45833-2022</t>
        </is>
      </c>
      <c r="B318" s="1" t="n">
        <v>44846</v>
      </c>
      <c r="C318" s="1" t="n">
        <v>46199</v>
      </c>
      <c r="D318" t="inlineStr">
        <is>
          <t>VÄSTRA GÖTALANDS LÄN</t>
        </is>
      </c>
      <c r="E318" t="inlineStr">
        <is>
          <t>FÄRGELANDA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17610-2023</t>
        </is>
      </c>
      <c r="B319" s="1" t="n">
        <v>45036</v>
      </c>
      <c r="C319" s="1" t="n">
        <v>46199</v>
      </c>
      <c r="D319" t="inlineStr">
        <is>
          <t>VÄSTRA GÖTALANDS LÄN</t>
        </is>
      </c>
      <c r="E319" t="inlineStr">
        <is>
          <t>FÄRGELANDA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4206-2024</t>
        </is>
      </c>
      <c r="B320" s="1" t="n">
        <v>45324</v>
      </c>
      <c r="C320" s="1" t="n">
        <v>46199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8185-2023</t>
        </is>
      </c>
      <c r="B321" s="1" t="n">
        <v>44974</v>
      </c>
      <c r="C321" s="1" t="n">
        <v>46199</v>
      </c>
      <c r="D321" t="inlineStr">
        <is>
          <t>VÄSTRA GÖTALANDS LÄN</t>
        </is>
      </c>
      <c r="E321" t="inlineStr">
        <is>
          <t>FÄRGELANDA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46199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5032-2023</t>
        </is>
      </c>
      <c r="B323" s="1" t="n">
        <v>44958</v>
      </c>
      <c r="C323" s="1" t="n">
        <v>46199</v>
      </c>
      <c r="D323" t="inlineStr">
        <is>
          <t>VÄSTRA GÖTALANDS LÄN</t>
        </is>
      </c>
      <c r="E323" t="inlineStr">
        <is>
          <t>FÄRGELANDA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35173-2024</t>
        </is>
      </c>
      <c r="B324" s="1" t="n">
        <v>45530</v>
      </c>
      <c r="C324" s="1" t="n">
        <v>46199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18178-2025</t>
        </is>
      </c>
      <c r="B325" s="1" t="n">
        <v>45761</v>
      </c>
      <c r="C325" s="1" t="n">
        <v>46199</v>
      </c>
      <c r="D325" t="inlineStr">
        <is>
          <t>VÄSTRA GÖTALANDS LÄN</t>
        </is>
      </c>
      <c r="E325" t="inlineStr">
        <is>
          <t>FÄRGELANDA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57991-2023</t>
        </is>
      </c>
      <c r="B326" s="1" t="n">
        <v>45247</v>
      </c>
      <c r="C326" s="1" t="n">
        <v>46199</v>
      </c>
      <c r="D326" t="inlineStr">
        <is>
          <t>VÄSTRA GÖTALANDS LÄN</t>
        </is>
      </c>
      <c r="E326" t="inlineStr">
        <is>
          <t>FÄRGELANDA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17456-2024</t>
        </is>
      </c>
      <c r="B327" s="1" t="n">
        <v>45415</v>
      </c>
      <c r="C327" s="1" t="n">
        <v>46199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18842-2025</t>
        </is>
      </c>
      <c r="B328" s="1" t="n">
        <v>45764</v>
      </c>
      <c r="C328" s="1" t="n">
        <v>46199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14015-2025</t>
        </is>
      </c>
      <c r="B329" s="1" t="n">
        <v>45740</v>
      </c>
      <c r="C329" s="1" t="n">
        <v>46199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19389-2023</t>
        </is>
      </c>
      <c r="B330" s="1" t="n">
        <v>45049</v>
      </c>
      <c r="C330" s="1" t="n">
        <v>46199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34241-2024</t>
        </is>
      </c>
      <c r="B331" s="1" t="n">
        <v>45524</v>
      </c>
      <c r="C331" s="1" t="n">
        <v>46199</v>
      </c>
      <c r="D331" t="inlineStr">
        <is>
          <t>VÄSTRA GÖTALANDS LÄN</t>
        </is>
      </c>
      <c r="E331" t="inlineStr">
        <is>
          <t>FÄRGELANDA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27521-2024</t>
        </is>
      </c>
      <c r="B332" s="1" t="n">
        <v>45474</v>
      </c>
      <c r="C332" s="1" t="n">
        <v>46199</v>
      </c>
      <c r="D332" t="inlineStr">
        <is>
          <t>VÄSTRA GÖTALANDS LÄN</t>
        </is>
      </c>
      <c r="E332" t="inlineStr">
        <is>
          <t>FÄRGELANDA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7387-2025</t>
        </is>
      </c>
      <c r="B333" s="1" t="n">
        <v>45705</v>
      </c>
      <c r="C333" s="1" t="n">
        <v>46199</v>
      </c>
      <c r="D333" t="inlineStr">
        <is>
          <t>VÄSTRA GÖTALANDS LÄN</t>
        </is>
      </c>
      <c r="E333" t="inlineStr">
        <is>
          <t>FÄRGELANDA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44846-2024</t>
        </is>
      </c>
      <c r="B334" s="1" t="n">
        <v>45574</v>
      </c>
      <c r="C334" s="1" t="n">
        <v>46199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31885-2022</t>
        </is>
      </c>
      <c r="B335" s="1" t="n">
        <v>44777</v>
      </c>
      <c r="C335" s="1" t="n">
        <v>46199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1030-2022</t>
        </is>
      </c>
      <c r="B336" s="1" t="n">
        <v>44571</v>
      </c>
      <c r="C336" s="1" t="n">
        <v>46199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46199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1678-2025</t>
        </is>
      </c>
      <c r="B338" s="1" t="n">
        <v>45670</v>
      </c>
      <c r="C338" s="1" t="n">
        <v>46199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46199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64390-2023</t>
        </is>
      </c>
      <c r="B340" s="1" t="n">
        <v>45280</v>
      </c>
      <c r="C340" s="1" t="n">
        <v>46199</v>
      </c>
      <c r="D340" t="inlineStr">
        <is>
          <t>VÄSTRA GÖTALANDS LÄN</t>
        </is>
      </c>
      <c r="E340" t="inlineStr">
        <is>
          <t>FÄRGELANDA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3657-2024</t>
        </is>
      </c>
      <c r="B341" s="1" t="n">
        <v>45321</v>
      </c>
      <c r="C341" s="1" t="n">
        <v>46199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60475-2024</t>
        </is>
      </c>
      <c r="B342" s="1" t="n">
        <v>45643</v>
      </c>
      <c r="C342" s="1" t="n">
        <v>46199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49826-2024</t>
        </is>
      </c>
      <c r="B343" s="1" t="n">
        <v>45597</v>
      </c>
      <c r="C343" s="1" t="n">
        <v>46199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16424-2024</t>
        </is>
      </c>
      <c r="B344" s="1" t="n">
        <v>45407</v>
      </c>
      <c r="C344" s="1" t="n">
        <v>46199</v>
      </c>
      <c r="D344" t="inlineStr">
        <is>
          <t>VÄSTRA GÖTALANDS LÄN</t>
        </is>
      </c>
      <c r="E344" t="inlineStr">
        <is>
          <t>FÄRGELANDA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4672-2025</t>
        </is>
      </c>
      <c r="B345" s="1" t="n">
        <v>45687</v>
      </c>
      <c r="C345" s="1" t="n">
        <v>46199</v>
      </c>
      <c r="D345" t="inlineStr">
        <is>
          <t>VÄSTRA GÖTALANDS LÄN</t>
        </is>
      </c>
      <c r="E345" t="inlineStr">
        <is>
          <t>FÄRGELANDA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63176-2023</t>
        </is>
      </c>
      <c r="B346" s="1" t="n">
        <v>45273</v>
      </c>
      <c r="C346" s="1" t="n">
        <v>46199</v>
      </c>
      <c r="D346" t="inlineStr">
        <is>
          <t>VÄSTRA GÖTALANDS LÄN</t>
        </is>
      </c>
      <c r="E346" t="inlineStr">
        <is>
          <t>FÄRGELANDA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12507-2025</t>
        </is>
      </c>
      <c r="B347" s="1" t="n">
        <v>45730</v>
      </c>
      <c r="C347" s="1" t="n">
        <v>46199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14018-2025</t>
        </is>
      </c>
      <c r="B348" s="1" t="n">
        <v>45740</v>
      </c>
      <c r="C348" s="1" t="n">
        <v>46199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20736-2025</t>
        </is>
      </c>
      <c r="B349" s="1" t="n">
        <v>45776</v>
      </c>
      <c r="C349" s="1" t="n">
        <v>46199</v>
      </c>
      <c r="D349" t="inlineStr">
        <is>
          <t>VÄSTRA GÖTALANDS LÄN</t>
        </is>
      </c>
      <c r="E349" t="inlineStr">
        <is>
          <t>FÄRGELANDA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21126-2025</t>
        </is>
      </c>
      <c r="B350" s="1" t="n">
        <v>45777</v>
      </c>
      <c r="C350" s="1" t="n">
        <v>46199</v>
      </c>
      <c r="D350" t="inlineStr">
        <is>
          <t>VÄSTRA GÖTALANDS LÄN</t>
        </is>
      </c>
      <c r="E350" t="inlineStr">
        <is>
          <t>FÄRGELANDA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21125-2025</t>
        </is>
      </c>
      <c r="B351" s="1" t="n">
        <v>45777</v>
      </c>
      <c r="C351" s="1" t="n">
        <v>46199</v>
      </c>
      <c r="D351" t="inlineStr">
        <is>
          <t>VÄSTRA GÖTALANDS LÄN</t>
        </is>
      </c>
      <c r="E351" t="inlineStr">
        <is>
          <t>FÄRGELANDA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16828-2023</t>
        </is>
      </c>
      <c r="B352" s="1" t="n">
        <v>45033</v>
      </c>
      <c r="C352" s="1" t="n">
        <v>46199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2026-06-26T00:49:48Z</dcterms:created>
  <dcterms:modified xmlns:dcterms="http://purl.org/dc/terms/" xmlns:xsi="http://www.w3.org/2001/XMLSchema-instance" xsi:type="dcterms:W3CDTF">2026-06-26T00:49:48Z</dcterms:modified>
</cp:coreProperties>
</file>