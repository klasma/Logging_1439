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HYPERLINK("https://klasma.github.io/Logging_1439/kartor_geotiff/A 33191-2022 georefererad karta.tif", "A 33191-2022")</f>
        <v/>
      </c>
      <c r="Y2">
        <f>HYPERLINK("https://klasma.github.io/Logging_1439/knärot/A 33191-2022 karta knärot.png", "A 33191-2022")</f>
        <v/>
      </c>
      <c r="Z2">
        <f>HYPERLINK("https://klasma.github.io/Logging_1439/klagomål/A 33191-2022 FSC-klagomål.docx", "A 33191-2022")</f>
        <v/>
      </c>
      <c r="AA2">
        <f>HYPERLINK("https://klasma.github.io/Logging_1439/klagomålsmail/A 33191-2022 FSC-klagomål mail.docx", "A 33191-2022")</f>
        <v/>
      </c>
      <c r="AB2">
        <f>HYPERLINK("https://klasma.github.io/Logging_1439/tillsyn/A 33191-2022 tillsynsbegäran.docx", "A 33191-2022")</f>
        <v/>
      </c>
      <c r="AC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X3">
        <f>HYPERLINK("https://klasma.github.io/Logging_1439/kartor_geotiff/A 42324-2025 georefererad karta.tif", "A 42324-2025")</f>
        <v/>
      </c>
      <c r="Z3">
        <f>HYPERLINK("https://klasma.github.io/Logging_1439/klagomål/A 42324-2025 FSC-klagomål.docx", "A 42324-2025")</f>
        <v/>
      </c>
      <c r="AA3">
        <f>HYPERLINK("https://klasma.github.io/Logging_1439/klagomålsmail/A 42324-2025 FSC-klagomål mail.docx", "A 42324-2025")</f>
        <v/>
      </c>
      <c r="AB3">
        <f>HYPERLINK("https://klasma.github.io/Logging_1439/tillsyn/A 42324-2025 tillsynsbegäran.docx", "A 42324-2025")</f>
        <v/>
      </c>
      <c r="AC3">
        <f>HYPERLINK("https://klasma.github.io/Logging_1439/tillsynsmail/A 42324-2025 tillsynsbegäran mail.docx", "A 42324-2025")</f>
        <v/>
      </c>
      <c r="AD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X4">
        <f>HYPERLINK("https://klasma.github.io/Logging_1439/kartor_geotiff/A 1414-2024 georefererad karta.tif", "A 1414-2024")</f>
        <v/>
      </c>
      <c r="Z4">
        <f>HYPERLINK("https://klasma.github.io/Logging_1439/klagomål/A 1414-2024 FSC-klagomål.docx", "A 1414-2024")</f>
        <v/>
      </c>
      <c r="AA4">
        <f>HYPERLINK("https://klasma.github.io/Logging_1439/klagomålsmail/A 1414-2024 FSC-klagomål mail.docx", "A 1414-2024")</f>
        <v/>
      </c>
      <c r="AB4">
        <f>HYPERLINK("https://klasma.github.io/Logging_1439/tillsyn/A 1414-2024 tillsynsbegäran.docx", "A 1414-2024")</f>
        <v/>
      </c>
      <c r="AC4">
        <f>HYPERLINK("https://klasma.github.io/Logging_1439/tillsynsmail/A 1414-2024 tillsynsbegäran mail.docx", "A 1414-2024")</f>
        <v/>
      </c>
      <c r="AD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X5">
        <f>HYPERLINK("https://klasma.github.io/Logging_1439/kartor_geotiff/A 1171-2023 georefererad karta.tif", "A 1171-2023")</f>
        <v/>
      </c>
      <c r="Z5">
        <f>HYPERLINK("https://klasma.github.io/Logging_1439/klagomål/A 1171-2023 FSC-klagomål.docx", "A 1171-2023")</f>
        <v/>
      </c>
      <c r="AA5">
        <f>HYPERLINK("https://klasma.github.io/Logging_1439/klagomålsmail/A 1171-2023 FSC-klagomål mail.docx", "A 1171-2023")</f>
        <v/>
      </c>
      <c r="AB5">
        <f>HYPERLINK("https://klasma.github.io/Logging_1439/tillsyn/A 1171-2023 tillsynsbegäran.docx", "A 1171-2023")</f>
        <v/>
      </c>
      <c r="AC5">
        <f>HYPERLINK("https://klasma.github.io/Logging_1439/tillsynsmail/A 1171-2023 tillsynsbegäran mail.docx", "A 1171-2023")</f>
        <v/>
      </c>
      <c r="AD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X6">
        <f>HYPERLINK("https://klasma.github.io/Logging_1439/kartor_geotiff/A 56305-2023 georefererad karta.tif", "A 56305-2023")</f>
        <v/>
      </c>
      <c r="Z6">
        <f>HYPERLINK("https://klasma.github.io/Logging_1439/klagomål/A 56305-2023 FSC-klagomål.docx", "A 56305-2023")</f>
        <v/>
      </c>
      <c r="AA6">
        <f>HYPERLINK("https://klasma.github.io/Logging_1439/klagomålsmail/A 56305-2023 FSC-klagomål mail.docx", "A 56305-2023")</f>
        <v/>
      </c>
      <c r="AB6">
        <f>HYPERLINK("https://klasma.github.io/Logging_1439/tillsyn/A 56305-2023 tillsynsbegäran.docx", "A 56305-2023")</f>
        <v/>
      </c>
      <c r="AC6">
        <f>HYPERLINK("https://klasma.github.io/Logging_1439/tillsynsmail/A 56305-2023 tillsynsbegäran mail.docx", "A 56305-2023")</f>
        <v/>
      </c>
      <c r="AD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46223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X7">
        <f>HYPERLINK("https://klasma.github.io/Logging_1439/kartor_geotiff/A 24074-2023 georefererad karta.tif", "A 24074-2023")</f>
        <v/>
      </c>
      <c r="Z7">
        <f>HYPERLINK("https://klasma.github.io/Logging_1439/klagomål/A 24074-2023 FSC-klagomål.docx", "A 24074-2023")</f>
        <v/>
      </c>
      <c r="AA7">
        <f>HYPERLINK("https://klasma.github.io/Logging_1439/klagomålsmail/A 24074-2023 FSC-klagomål mail.docx", "A 24074-2023")</f>
        <v/>
      </c>
      <c r="AB7">
        <f>HYPERLINK("https://klasma.github.io/Logging_1439/tillsyn/A 24074-2023 tillsynsbegäran.docx", "A 24074-2023")</f>
        <v/>
      </c>
      <c r="AC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46223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Grön sköldmossa
Kornknutmossa</t>
        </is>
      </c>
      <c r="V8">
        <f>HYPERLINK("https://klasma.github.io/Logging_1439/artfynd/A 25091-2026 artfynd.xlsx", "A 25091-2026")</f>
        <v/>
      </c>
      <c r="W8">
        <f>HYPERLINK("https://klasma.github.io/Logging_1439/kartor/A 25091-2026 karta.png", "A 25091-2026")</f>
        <v/>
      </c>
      <c r="X8">
        <f>HYPERLINK("https://klasma.github.io/Logging_1439/kartor_geotiff/A 25091-2026 georefererad karta.tif", "A 25091-2026")</f>
        <v/>
      </c>
      <c r="Z8">
        <f>HYPERLINK("https://klasma.github.io/Logging_1439/klagomål/A 25091-2026 FSC-klagomål.docx", "A 25091-2026")</f>
        <v/>
      </c>
      <c r="AA8">
        <f>HYPERLINK("https://klasma.github.io/Logging_1439/klagomålsmail/A 25091-2026 FSC-klagomål mail.docx", "A 25091-2026")</f>
        <v/>
      </c>
      <c r="AB8">
        <f>HYPERLINK("https://klasma.github.io/Logging_1439/tillsyn/A 25091-2026 tillsynsbegäran.docx", "A 25091-2026")</f>
        <v/>
      </c>
      <c r="AC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46223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Grynig filtlav
Korallblylav</t>
        </is>
      </c>
      <c r="V9">
        <f>HYPERLINK("https://klasma.github.io/Logging_1439/artfynd/A 62751-2021 artfynd.xlsx", "A 62751-2021")</f>
        <v/>
      </c>
      <c r="W9">
        <f>HYPERLINK("https://klasma.github.io/Logging_1439/kartor/A 62751-2021 karta.png", "A 62751-2021")</f>
        <v/>
      </c>
      <c r="X9">
        <f>HYPERLINK("https://klasma.github.io/Logging_1439/kartor_geotiff/A 62751-2021 georefererad karta.tif", "A 62751-2021")</f>
        <v/>
      </c>
      <c r="Z9">
        <f>HYPERLINK("https://klasma.github.io/Logging_1439/klagomål/A 62751-2021 FSC-klagomål.docx", "A 62751-2021")</f>
        <v/>
      </c>
      <c r="AA9">
        <f>HYPERLINK("https://klasma.github.io/Logging_1439/klagomålsmail/A 62751-2021 FSC-klagomål mail.docx", "A 62751-2021")</f>
        <v/>
      </c>
      <c r="AB9">
        <f>HYPERLINK("https://klasma.github.io/Logging_1439/tillsyn/A 62751-2021 tillsynsbegäran.docx", "A 62751-2021")</f>
        <v/>
      </c>
      <c r="AC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46223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Dropptaggsvamp
Revlummer</t>
        </is>
      </c>
      <c r="V10">
        <f>HYPERLINK("https://klasma.github.io/Logging_1439/artfynd/A 38771-2024 artfynd.xlsx", "A 38771-2024")</f>
        <v/>
      </c>
      <c r="W10">
        <f>HYPERLINK("https://klasma.github.io/Logging_1439/kartor/A 38771-2024 karta.png", "A 38771-2024")</f>
        <v/>
      </c>
      <c r="X10">
        <f>HYPERLINK("https://klasma.github.io/Logging_1439/kartor_geotiff/A 38771-2024 georefererad karta.tif", "A 38771-2024")</f>
        <v/>
      </c>
      <c r="Z10">
        <f>HYPERLINK("https://klasma.github.io/Logging_1439/klagomål/A 38771-2024 FSC-klagomål.docx", "A 38771-2024")</f>
        <v/>
      </c>
      <c r="AA10">
        <f>HYPERLINK("https://klasma.github.io/Logging_1439/klagomålsmail/A 38771-2024 FSC-klagomål mail.docx", "A 38771-2024")</f>
        <v/>
      </c>
      <c r="AB10">
        <f>HYPERLINK("https://klasma.github.io/Logging_1439/tillsyn/A 38771-2024 tillsynsbegäran.docx", "A 38771-2024")</f>
        <v/>
      </c>
      <c r="AC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46223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X11">
        <f>HYPERLINK("https://klasma.github.io/Logging_1439/kartor_geotiff/S 6820-2021 georefererad karta.tif", "S 6820-2021")</f>
        <v/>
      </c>
      <c r="Z11">
        <f>HYPERLINK("https://klasma.github.io/Logging_1439/klagomål/S 6820-2021 FSC-klagomål.docx", "S 6820-2021")</f>
        <v/>
      </c>
      <c r="AA11">
        <f>HYPERLINK("https://klasma.github.io/Logging_1439/klagomålsmail/S 6820-2021 FSC-klagomål mail.docx", "S 6820-2021")</f>
        <v/>
      </c>
      <c r="AB11">
        <f>HYPERLINK("https://klasma.github.io/Logging_1439/tillsyn/S 6820-2021 tillsynsbegäran.docx", "S 6820-2021")</f>
        <v/>
      </c>
      <c r="AC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46223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X12">
        <f>HYPERLINK("https://klasma.github.io/Logging_1439/kartor_geotiff/S 2510-2024 georefererad karta.tif", "S 2510-2024")</f>
        <v/>
      </c>
      <c r="Z12">
        <f>HYPERLINK("https://klasma.github.io/Logging_1439/klagomål/S 2510-2024 FSC-klagomål.docx", "S 2510-2024")</f>
        <v/>
      </c>
      <c r="AA12">
        <f>HYPERLINK("https://klasma.github.io/Logging_1439/klagomålsmail/S 2510-2024 FSC-klagomål mail.docx", "S 2510-2024")</f>
        <v/>
      </c>
      <c r="AB12">
        <f>HYPERLINK("https://klasma.github.io/Logging_1439/tillsyn/S 2510-2024 tillsynsbegäran.docx", "S 2510-2024")</f>
        <v/>
      </c>
      <c r="AC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46223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HYPERLINK("https://klasma.github.io/Logging_1439/artfynd/A 9308-2025 artfynd.xlsx", "A 9308-2025")</f>
        <v/>
      </c>
      <c r="W13">
        <f>HYPERLINK("https://klasma.github.io/Logging_1439/kartor/A 9308-2025 karta.png", "A 9308-2025")</f>
        <v/>
      </c>
      <c r="X13">
        <f>HYPERLINK("https://klasma.github.io/Logging_1439/kartor_geotiff/A 9308-2025 georefererad karta.tif", "A 9308-2025")</f>
        <v/>
      </c>
      <c r="Z13">
        <f>HYPERLINK("https://klasma.github.io/Logging_1439/klagomål/A 9308-2025 FSC-klagomål.docx", "A 9308-2025")</f>
        <v/>
      </c>
      <c r="AA13">
        <f>HYPERLINK("https://klasma.github.io/Logging_1439/klagomålsmail/A 9308-2025 FSC-klagomål mail.docx", "A 9308-2025")</f>
        <v/>
      </c>
      <c r="AB13">
        <f>HYPERLINK("https://klasma.github.io/Logging_1439/tillsyn/A 9308-2025 tillsynsbegäran.docx", "A 9308-2025")</f>
        <v/>
      </c>
      <c r="AC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46223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HYPERLINK("https://klasma.github.io/Logging_1439/artfynd/A 60624-2022 artfynd.xlsx", "A 60624-2022")</f>
        <v/>
      </c>
      <c r="W14">
        <f>HYPERLINK("https://klasma.github.io/Logging_1439/kartor/A 60624-2022 karta.png", "A 60624-2022")</f>
        <v/>
      </c>
      <c r="X14">
        <f>HYPERLINK("https://klasma.github.io/Logging_1439/kartor_geotiff/A 60624-2022 georefererad karta.tif", "A 60624-2022")</f>
        <v/>
      </c>
      <c r="Z14">
        <f>HYPERLINK("https://klasma.github.io/Logging_1439/klagomål/A 60624-2022 FSC-klagomål.docx", "A 60624-2022")</f>
        <v/>
      </c>
      <c r="AA14">
        <f>HYPERLINK("https://klasma.github.io/Logging_1439/klagomålsmail/A 60624-2022 FSC-klagomål mail.docx", "A 60624-2022")</f>
        <v/>
      </c>
      <c r="AB14">
        <f>HYPERLINK("https://klasma.github.io/Logging_1439/tillsyn/A 60624-2022 tillsynsbegäran.docx", "A 60624-2022")</f>
        <v/>
      </c>
      <c r="AC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46223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Spindelblomster</t>
        </is>
      </c>
      <c r="V15">
        <f>HYPERLINK("https://klasma.github.io/Logging_1439/artfynd/A 36645-2023 artfynd.xlsx", "A 36645-2023")</f>
        <v/>
      </c>
      <c r="W15">
        <f>HYPERLINK("https://klasma.github.io/Logging_1439/kartor/A 36645-2023 karta.png", "A 36645-2023")</f>
        <v/>
      </c>
      <c r="X15">
        <f>HYPERLINK("https://klasma.github.io/Logging_1439/kartor_geotiff/A 36645-2023 georefererad karta.tif", "A 36645-2023")</f>
        <v/>
      </c>
      <c r="Z15">
        <f>HYPERLINK("https://klasma.github.io/Logging_1439/klagomål/A 36645-2023 FSC-klagomål.docx", "A 36645-2023")</f>
        <v/>
      </c>
      <c r="AA15">
        <f>HYPERLINK("https://klasma.github.io/Logging_1439/klagomålsmail/A 36645-2023 FSC-klagomål mail.docx", "A 36645-2023")</f>
        <v/>
      </c>
      <c r="AB15">
        <f>HYPERLINK("https://klasma.github.io/Logging_1439/tillsyn/A 36645-2023 tillsynsbegäran.docx", "A 36645-2023")</f>
        <v/>
      </c>
      <c r="AC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46223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Källfräne</t>
        </is>
      </c>
      <c r="V16">
        <f>HYPERLINK("https://klasma.github.io/Logging_1439/artfynd/A 57683-2023 artfynd.xlsx", "A 57683-2023")</f>
        <v/>
      </c>
      <c r="W16">
        <f>HYPERLINK("https://klasma.github.io/Logging_1439/kartor/A 57683-2023 karta.png", "A 57683-2023")</f>
        <v/>
      </c>
      <c r="X16">
        <f>HYPERLINK("https://klasma.github.io/Logging_1439/kartor_geotiff/A 57683-2023 georefererad karta.tif", "A 57683-2023")</f>
        <v/>
      </c>
      <c r="Z16">
        <f>HYPERLINK("https://klasma.github.io/Logging_1439/klagomål/A 57683-2023 FSC-klagomål.docx", "A 57683-2023")</f>
        <v/>
      </c>
      <c r="AA16">
        <f>HYPERLINK("https://klasma.github.io/Logging_1439/klagomålsmail/A 57683-2023 FSC-klagomål mail.docx", "A 57683-2023")</f>
        <v/>
      </c>
      <c r="AB16">
        <f>HYPERLINK("https://klasma.github.io/Logging_1439/tillsyn/A 57683-2023 tillsynsbegäran.docx", "A 57683-2023")</f>
        <v/>
      </c>
      <c r="AC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46223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HYPERLINK("https://klasma.github.io/Logging_1439/artfynd/A 19083-2025 artfynd.xlsx", "A 19083-2025")</f>
        <v/>
      </c>
      <c r="W17">
        <f>HYPERLINK("https://klasma.github.io/Logging_1439/kartor/A 19083-2025 karta.png", "A 19083-2025")</f>
        <v/>
      </c>
      <c r="X17">
        <f>HYPERLINK("https://klasma.github.io/Logging_1439/kartor_geotiff/A 19083-2025 georefererad karta.tif", "A 19083-2025")</f>
        <v/>
      </c>
      <c r="Z17">
        <f>HYPERLINK("https://klasma.github.io/Logging_1439/klagomål/A 19083-2025 FSC-klagomål.docx", "A 19083-2025")</f>
        <v/>
      </c>
      <c r="AA17">
        <f>HYPERLINK("https://klasma.github.io/Logging_1439/klagomålsmail/A 19083-2025 FSC-klagomål mail.docx", "A 19083-2025")</f>
        <v/>
      </c>
      <c r="AB17">
        <f>HYPERLINK("https://klasma.github.io/Logging_1439/tillsyn/A 19083-2025 tillsynsbegäran.docx", "A 19083-2025")</f>
        <v/>
      </c>
      <c r="AC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46223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46223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46223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46223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46223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46223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46223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46223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46223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48039-2021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44449</v>
      </c>
      <c r="E27" s="1" t="n">
        <v>46223</v>
      </c>
      <c r="F27" t="inlineStr">
        <is>
          <t>VÄSTRA GÖTALANDS LÄN</t>
        </is>
      </c>
      <c r="G27" t="inlineStr">
        <is>
          <t>FÄRGELANDA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46223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46223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46223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46223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46223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46223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46223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46223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46223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46223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46223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46223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46223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46223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46223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46223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46223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46223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46223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46223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46223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46223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46223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46223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46223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54698-2022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46223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46223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46223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46223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59023-2023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46223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46223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46223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46223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46223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46223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46223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46223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46223</v>
      </c>
      <c r="F65" t="inlineStr">
        <is>
          <t>VÄSTRA GÖTALANDS LÄN</t>
        </is>
      </c>
      <c r="G65" t="inlineStr">
        <is>
          <t>FÄRGELANDA</t>
        </is>
      </c>
      <c r="I65" t="n">
        <v>20.8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46223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46223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46223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58324-2022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46223</v>
      </c>
      <c r="F69" t="inlineStr">
        <is>
          <t>VÄSTRA GÖTALANDS LÄN</t>
        </is>
      </c>
      <c r="G69" t="inlineStr">
        <is>
          <t>FÄRGELANDA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46223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45452</v>
      </c>
      <c r="E71" s="1" t="n">
        <v>46223</v>
      </c>
      <c r="F71" t="inlineStr">
        <is>
          <t>VÄSTRA GÖTALANDS LÄN</t>
        </is>
      </c>
      <c r="G71" t="inlineStr">
        <is>
          <t>FÄRGELANDA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46223</v>
      </c>
      <c r="F72" t="inlineStr">
        <is>
          <t>VÄSTRA GÖTALANDS LÄN</t>
        </is>
      </c>
      <c r="G72" t="inlineStr">
        <is>
          <t>FÄRGELANDA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56619-2022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46223</v>
      </c>
      <c r="F73" t="inlineStr">
        <is>
          <t>VÄSTRA GÖTALANDS LÄN</t>
        </is>
      </c>
      <c r="G73" t="inlineStr">
        <is>
          <t>FÄRGELANDA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46223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46223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46223</v>
      </c>
      <c r="F76" t="inlineStr">
        <is>
          <t>VÄSTRA GÖTALANDS LÄN</t>
        </is>
      </c>
      <c r="G76" t="inlineStr">
        <is>
          <t>FÄRGELANDA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46223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26292-2025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46223</v>
      </c>
      <c r="F78" t="inlineStr">
        <is>
          <t>VÄSTRA GÖTALANDS LÄN</t>
        </is>
      </c>
      <c r="G78" t="inlineStr">
        <is>
          <t>FÄRGELANDA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46223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45268-2021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44439</v>
      </c>
      <c r="E80" s="1" t="n">
        <v>46223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71963-2021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46223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46223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27054-2025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46223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46223</v>
      </c>
      <c r="F84" t="inlineStr">
        <is>
          <t>VÄSTRA GÖTALANDS LÄN</t>
        </is>
      </c>
      <c r="G84" t="inlineStr">
        <is>
          <t>FÄRGELANDA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46223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46223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45815</v>
      </c>
      <c r="E87" s="1" t="n">
        <v>46223</v>
      </c>
      <c r="F87" t="inlineStr">
        <is>
          <t>VÄSTRA GÖTALANDS LÄN</t>
        </is>
      </c>
      <c r="G87" t="inlineStr">
        <is>
          <t>FÄRGELANDA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46223</v>
      </c>
      <c r="F88" t="inlineStr">
        <is>
          <t>VÄSTRA GÖTALANDS LÄN</t>
        </is>
      </c>
      <c r="G88" t="inlineStr">
        <is>
          <t>FÄRGELANDA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46223</v>
      </c>
      <c r="F89" t="inlineStr">
        <is>
          <t>VÄSTRA GÖTALANDS LÄN</t>
        </is>
      </c>
      <c r="G89" t="inlineStr">
        <is>
          <t>FÄRGELANDA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46223</v>
      </c>
      <c r="F90" t="inlineStr">
        <is>
          <t>VÄSTRA GÖTALANDS LÄN</t>
        </is>
      </c>
      <c r="G90" t="inlineStr">
        <is>
          <t>FÄRGELANDA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46223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46223</v>
      </c>
      <c r="F92" t="inlineStr">
        <is>
          <t>VÄSTRA GÖTALANDS LÄN</t>
        </is>
      </c>
      <c r="G92" t="inlineStr">
        <is>
          <t>FÄRGELANDA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40226-2025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46223</v>
      </c>
      <c r="F93" t="inlineStr">
        <is>
          <t>VÄSTRA GÖTALANDS LÄN</t>
        </is>
      </c>
      <c r="G93" t="inlineStr">
        <is>
          <t>FÄRGELANDA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46223</v>
      </c>
      <c r="F94" t="inlineStr">
        <is>
          <t>VÄSTRA GÖTALANDS LÄN</t>
        </is>
      </c>
      <c r="G94" t="inlineStr">
        <is>
          <t>FÄRGELANDA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46223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61914-2022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46223</v>
      </c>
      <c r="F96" t="inlineStr">
        <is>
          <t>VÄSTRA GÖTALANDS LÄN</t>
        </is>
      </c>
      <c r="G96" t="inlineStr">
        <is>
          <t>FÄRGELANDA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31146-2025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46223</v>
      </c>
      <c r="F97" t="inlineStr">
        <is>
          <t>VÄSTRA GÖTALANDS LÄN</t>
        </is>
      </c>
      <c r="G97" t="inlineStr">
        <is>
          <t>FÄRGELANDA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46223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46223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46223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46223</v>
      </c>
      <c r="F101" t="inlineStr">
        <is>
          <t>VÄSTRA GÖTALANDS LÄN</t>
        </is>
      </c>
      <c r="G101" t="inlineStr">
        <is>
          <t>FÄRGELANDA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46223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31996-2025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46223</v>
      </c>
      <c r="F103" t="inlineStr">
        <is>
          <t>VÄSTRA GÖTALANDS LÄN</t>
        </is>
      </c>
      <c r="G103" t="inlineStr">
        <is>
          <t>FÄRGELANDA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32013-2025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46223</v>
      </c>
      <c r="F104" t="inlineStr">
        <is>
          <t>VÄSTRA GÖTALANDS LÄN</t>
        </is>
      </c>
      <c r="G104" t="inlineStr">
        <is>
          <t>FÄRGELANDA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46223</v>
      </c>
      <c r="F105" t="inlineStr">
        <is>
          <t>VÄSTRA GÖTALANDS LÄN</t>
        </is>
      </c>
      <c r="G105" t="inlineStr">
        <is>
          <t>FÄRGELANDA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46223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46223</v>
      </c>
      <c r="F107" t="inlineStr">
        <is>
          <t>VÄSTRA GÖTALANDS LÄN</t>
        </is>
      </c>
      <c r="G107" t="inlineStr">
        <is>
          <t>FÄRGELANDA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46223</v>
      </c>
      <c r="F108" t="inlineStr">
        <is>
          <t>VÄSTRA GÖTALANDS LÄN</t>
        </is>
      </c>
      <c r="G108" t="inlineStr">
        <is>
          <t>FÄRGELANDA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46223</v>
      </c>
      <c r="F109" t="inlineStr">
        <is>
          <t>VÄSTRA GÖTALANDS LÄN</t>
        </is>
      </c>
      <c r="G109" t="inlineStr">
        <is>
          <t>FÄRGELANDA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46223</v>
      </c>
      <c r="F110" t="inlineStr">
        <is>
          <t>VÄSTRA GÖTALANDS LÄN</t>
        </is>
      </c>
      <c r="G110" t="inlineStr">
        <is>
          <t>FÄRGELANDA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46223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46223</v>
      </c>
      <c r="F112" t="inlineStr">
        <is>
          <t>VÄSTRA GÖTALANDS LÄN</t>
        </is>
      </c>
      <c r="G112" t="inlineStr">
        <is>
          <t>FÄRGELANDA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46223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24284-2023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46223</v>
      </c>
      <c r="F114" t="inlineStr">
        <is>
          <t>VÄSTRA GÖTALANDS LÄN</t>
        </is>
      </c>
      <c r="G114" t="inlineStr">
        <is>
          <t>FÄRGELANDA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46223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46223</v>
      </c>
      <c r="F116" t="inlineStr">
        <is>
          <t>VÄSTRA GÖTALANDS LÄN</t>
        </is>
      </c>
      <c r="G116" t="inlineStr">
        <is>
          <t>FÄRGELANDA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46223</v>
      </c>
      <c r="F117" t="inlineStr">
        <is>
          <t>VÄSTRA GÖTALANDS LÄN</t>
        </is>
      </c>
      <c r="G117" t="inlineStr">
        <is>
          <t>FÄRGELANDA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60321-2024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46223</v>
      </c>
      <c r="F118" t="inlineStr">
        <is>
          <t>VÄSTRA GÖTALANDS LÄN</t>
        </is>
      </c>
      <c r="G118" t="inlineStr">
        <is>
          <t>FÄRGELANDA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46223</v>
      </c>
      <c r="F119" t="inlineStr">
        <is>
          <t>VÄSTRA GÖTALANDS LÄN</t>
        </is>
      </c>
      <c r="G119" t="inlineStr">
        <is>
          <t>FÄRGELANDA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46223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46223</v>
      </c>
      <c r="F121" t="inlineStr">
        <is>
          <t>VÄSTRA GÖTALANDS LÄN</t>
        </is>
      </c>
      <c r="G121" t="inlineStr">
        <is>
          <t>FÄRGELANDA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46223</v>
      </c>
      <c r="F122" t="inlineStr">
        <is>
          <t>VÄSTRA GÖTALANDS LÄN</t>
        </is>
      </c>
      <c r="G122" t="inlineStr">
        <is>
          <t>FÄRGELANDA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46223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59441-2024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46223</v>
      </c>
      <c r="F124" t="inlineStr">
        <is>
          <t>VÄSTRA GÖTALANDS LÄN</t>
        </is>
      </c>
      <c r="G124" t="inlineStr">
        <is>
          <t>FÄRGELANDA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35098-2023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46223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46223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46223</v>
      </c>
      <c r="F127" t="inlineStr">
        <is>
          <t>VÄSTRA GÖTALANDS LÄN</t>
        </is>
      </c>
      <c r="G127" t="inlineStr">
        <is>
          <t>FÄRGELANDA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17486-2025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46223</v>
      </c>
      <c r="F128" t="inlineStr">
        <is>
          <t>VÄSTRA GÖTALANDS LÄN</t>
        </is>
      </c>
      <c r="G128" t="inlineStr">
        <is>
          <t>FÄRGELANDA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46223</v>
      </c>
      <c r="F129" t="inlineStr">
        <is>
          <t>VÄSTRA GÖTALANDS LÄN</t>
        </is>
      </c>
      <c r="G129" t="inlineStr">
        <is>
          <t>FÄRGELANDA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8450-2023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46223</v>
      </c>
      <c r="F130" t="inlineStr">
        <is>
          <t>VÄSTRA GÖTALANDS LÄN</t>
        </is>
      </c>
      <c r="G130" t="inlineStr">
        <is>
          <t>FÄRGELANDA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50876-2025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46223</v>
      </c>
      <c r="F131" t="inlineStr">
        <is>
          <t>VÄSTRA GÖTALANDS LÄN</t>
        </is>
      </c>
      <c r="G131" t="inlineStr">
        <is>
          <t>FÄRGELANDA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51483-2025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46223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46223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46223</v>
      </c>
      <c r="F134" t="inlineStr">
        <is>
          <t>VÄSTRA GÖTALANDS LÄN</t>
        </is>
      </c>
      <c r="G134" t="inlineStr">
        <is>
          <t>FÄRGELANDA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46223</v>
      </c>
      <c r="F135" t="inlineStr">
        <is>
          <t>VÄSTRA GÖTALANDS LÄN</t>
        </is>
      </c>
      <c r="G135" t="inlineStr">
        <is>
          <t>FÄRGELANDA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46223</v>
      </c>
      <c r="F136" t="inlineStr">
        <is>
          <t>VÄSTRA GÖTALANDS LÄN</t>
        </is>
      </c>
      <c r="G136" t="inlineStr">
        <is>
          <t>FÄRGELANDA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46223</v>
      </c>
      <c r="F137" t="inlineStr">
        <is>
          <t>VÄSTRA GÖTALANDS LÄN</t>
        </is>
      </c>
      <c r="G137" t="inlineStr">
        <is>
          <t>FÄRGELANDA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8675-2026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46223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46223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45014</v>
      </c>
      <c r="E140" s="1" t="n">
        <v>46223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46223</v>
      </c>
      <c r="F141" t="inlineStr">
        <is>
          <t>VÄSTRA GÖTALANDS LÄN</t>
        </is>
      </c>
      <c r="G141" t="inlineStr">
        <is>
          <t>FÄRGELANDA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8920-2026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46223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Kommuner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46223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9418-2026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46223</v>
      </c>
      <c r="F144" t="inlineStr">
        <is>
          <t>VÄSTRA GÖTALANDS LÄN</t>
        </is>
      </c>
      <c r="G144" t="inlineStr">
        <is>
          <t>FÄRGELANDA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9450-2026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46223</v>
      </c>
      <c r="F145" t="inlineStr">
        <is>
          <t>VÄSTRA GÖTALANDS LÄN</t>
        </is>
      </c>
      <c r="G145" t="inlineStr">
        <is>
          <t>FÄRGELANDA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46223</v>
      </c>
      <c r="F146" t="inlineStr">
        <is>
          <t>VÄSTRA GÖTALANDS LÄN</t>
        </is>
      </c>
      <c r="G146" t="inlineStr">
        <is>
          <t>FÄRGELANDA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9441-2026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46223</v>
      </c>
      <c r="F147" t="inlineStr">
        <is>
          <t>VÄSTRA GÖTALANDS LÄN</t>
        </is>
      </c>
      <c r="G147" t="inlineStr">
        <is>
          <t>FÄRGELANDA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46223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46223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10451-2026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46223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46223</v>
      </c>
      <c r="F151" t="inlineStr">
        <is>
          <t>VÄSTRA GÖTALANDS LÄN</t>
        </is>
      </c>
      <c r="G151" t="inlineStr">
        <is>
          <t>FÄRGELANDA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54401-2025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46223</v>
      </c>
      <c r="F152" t="inlineStr">
        <is>
          <t>VÄSTRA GÖTALANDS LÄN</t>
        </is>
      </c>
      <c r="G152" t="inlineStr">
        <is>
          <t>FÄRGELANDA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46223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46223</v>
      </c>
      <c r="F154" t="inlineStr">
        <is>
          <t>VÄSTRA GÖTALANDS LÄN</t>
        </is>
      </c>
      <c r="G154" t="inlineStr">
        <is>
          <t>FÄRGELANDA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46223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9980-2026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46223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46223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46223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46223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46223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22722-2023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46223</v>
      </c>
      <c r="F161" t="inlineStr">
        <is>
          <t>VÄSTRA GÖTALANDS LÄN</t>
        </is>
      </c>
      <c r="G161" t="inlineStr">
        <is>
          <t>FÄRGELANDA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61642-2022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44916</v>
      </c>
      <c r="E162" s="1" t="n">
        <v>46223</v>
      </c>
      <c r="F162" t="inlineStr">
        <is>
          <t>VÄSTRA GÖTALANDS LÄN</t>
        </is>
      </c>
      <c r="G162" t="inlineStr">
        <is>
          <t>FÄRGELANDA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11221-2026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46080</v>
      </c>
      <c r="E163" s="1" t="n">
        <v>46223</v>
      </c>
      <c r="F163" t="inlineStr">
        <is>
          <t>VÄSTRA GÖTALANDS LÄN</t>
        </is>
      </c>
      <c r="G163" t="inlineStr">
        <is>
          <t>FÄRGELANDA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46080</v>
      </c>
      <c r="E164" s="1" t="n">
        <v>46223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35845-2024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46223</v>
      </c>
      <c r="F165" t="inlineStr">
        <is>
          <t>VÄSTRA GÖTALANDS LÄN</t>
        </is>
      </c>
      <c r="G165" t="inlineStr">
        <is>
          <t>FÄRGELANDA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46223</v>
      </c>
      <c r="F166" t="inlineStr">
        <is>
          <t>VÄSTRA GÖTALANDS LÄN</t>
        </is>
      </c>
      <c r="G166" t="inlineStr">
        <is>
          <t>FÄRGELANDA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12190-2026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46223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46087</v>
      </c>
      <c r="E168" s="1" t="n">
        <v>46223</v>
      </c>
      <c r="F168" t="inlineStr">
        <is>
          <t>VÄSTRA GÖTALANDS LÄN</t>
        </is>
      </c>
      <c r="G168" t="inlineStr">
        <is>
          <t>FÄRGELANDA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46223</v>
      </c>
      <c r="F169" t="inlineStr">
        <is>
          <t>VÄSTRA GÖTALANDS LÄN</t>
        </is>
      </c>
      <c r="G169" t="inlineStr">
        <is>
          <t>FÄRGELANDA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49825-2023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46223</v>
      </c>
      <c r="F170" t="inlineStr">
        <is>
          <t>VÄSTRA GÖTALANDS LÄN</t>
        </is>
      </c>
      <c r="G170" t="inlineStr">
        <is>
          <t>FÄRGELANDA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12824-2026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46091</v>
      </c>
      <c r="E171" s="1" t="n">
        <v>46223</v>
      </c>
      <c r="F171" t="inlineStr">
        <is>
          <t>VÄSTRA GÖTALANDS LÄN</t>
        </is>
      </c>
      <c r="G171" t="inlineStr">
        <is>
          <t>FÄRGELANDA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46223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46223</v>
      </c>
      <c r="F173" t="inlineStr">
        <is>
          <t>VÄSTRA GÖTALANDS LÄN</t>
        </is>
      </c>
      <c r="G173" t="inlineStr">
        <is>
          <t>FÄRGELANDA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57267-2022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46223</v>
      </c>
      <c r="F174" t="inlineStr">
        <is>
          <t>VÄSTRA GÖTALANDS LÄN</t>
        </is>
      </c>
      <c r="G174" t="inlineStr">
        <is>
          <t>FÄRGELANDA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46223</v>
      </c>
      <c r="F175" t="inlineStr">
        <is>
          <t>VÄSTRA GÖTALANDS LÄN</t>
        </is>
      </c>
      <c r="G175" t="inlineStr">
        <is>
          <t>FÄRGELANDA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46041-2021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46223</v>
      </c>
      <c r="F176" t="inlineStr">
        <is>
          <t>VÄSTRA GÖTALANDS LÄN</t>
        </is>
      </c>
      <c r="G176" t="inlineStr">
        <is>
          <t>FÄRGELANDA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58868-2025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46223</v>
      </c>
      <c r="F177" t="inlineStr">
        <is>
          <t>VÄSTRA GÖTALANDS LÄN</t>
        </is>
      </c>
      <c r="G177" t="inlineStr">
        <is>
          <t>FÄRGELANDA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59022-2023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45252</v>
      </c>
      <c r="E178" s="1" t="n">
        <v>46223</v>
      </c>
      <c r="F178" t="inlineStr">
        <is>
          <t>VÄSTRA GÖTALANDS LÄN</t>
        </is>
      </c>
      <c r="G178" t="inlineStr">
        <is>
          <t>FÄRGELANDA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59025-2023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45252</v>
      </c>
      <c r="E179" s="1" t="n">
        <v>46223</v>
      </c>
      <c r="F179" t="inlineStr">
        <is>
          <t>VÄSTRA GÖTALANDS LÄN</t>
        </is>
      </c>
      <c r="G179" t="inlineStr">
        <is>
          <t>FÄRGELANDA</t>
        </is>
      </c>
      <c r="I179" t="n">
        <v>44.5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52151-2022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44873</v>
      </c>
      <c r="E180" s="1" t="n">
        <v>46223</v>
      </c>
      <c r="F180" t="inlineStr">
        <is>
          <t>VÄSTRA GÖTALANDS LÄN</t>
        </is>
      </c>
      <c r="G180" t="inlineStr">
        <is>
          <t>FÄRGELANDA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62435-2025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46223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46223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46223</v>
      </c>
      <c r="F183" t="inlineStr">
        <is>
          <t>VÄSTRA GÖTALANDS LÄN</t>
        </is>
      </c>
      <c r="G183" t="inlineStr">
        <is>
          <t>FÄRGELANDA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46223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55310-2023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46223</v>
      </c>
      <c r="F185" t="inlineStr">
        <is>
          <t>VÄSTRA GÖTALANDS LÄN</t>
        </is>
      </c>
      <c r="G185" t="inlineStr">
        <is>
          <t>FÄRGELANDA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15685-2026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46107</v>
      </c>
      <c r="E186" s="1" t="n">
        <v>46223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46223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21311-2023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46223</v>
      </c>
      <c r="F188" t="inlineStr">
        <is>
          <t>VÄSTRA GÖTALANDS LÄN</t>
        </is>
      </c>
      <c r="G188" t="inlineStr">
        <is>
          <t>FÄRGELANDA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46223</v>
      </c>
      <c r="F189" t="inlineStr">
        <is>
          <t>VÄSTRA GÖTALANDS LÄN</t>
        </is>
      </c>
      <c r="G189" t="inlineStr">
        <is>
          <t>FÄRGELANDA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24075-2023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46223</v>
      </c>
      <c r="F190" t="inlineStr">
        <is>
          <t>VÄSTRA GÖTALANDS LÄN</t>
        </is>
      </c>
      <c r="G190" t="inlineStr">
        <is>
          <t>FÄRGELANDA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46223</v>
      </c>
      <c r="F191" t="inlineStr">
        <is>
          <t>VÄSTRA GÖTALANDS LÄN</t>
        </is>
      </c>
      <c r="G191" t="inlineStr">
        <is>
          <t>FÄRGELANDA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17375-2026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46223</v>
      </c>
      <c r="F192" t="inlineStr">
        <is>
          <t>VÄSTRA GÖTALANDS LÄN</t>
        </is>
      </c>
      <c r="G192" t="inlineStr">
        <is>
          <t>FÄRGELANDA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17749-2026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46223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17777-2026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46223</v>
      </c>
      <c r="F194" t="inlineStr">
        <is>
          <t>VÄSTRA GÖTALANDS LÄN</t>
        </is>
      </c>
      <c r="G194" t="inlineStr">
        <is>
          <t>FÄRGELANDA</t>
        </is>
      </c>
      <c r="H194" t="inlineStr">
        <is>
          <t>Övriga Aktiebolag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17646-2026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46223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46223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46223</v>
      </c>
      <c r="F197" t="inlineStr">
        <is>
          <t>VÄSTRA GÖTALANDS LÄN</t>
        </is>
      </c>
      <c r="G197" t="inlineStr">
        <is>
          <t>FÄRGELANDA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46223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46223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17991-2026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46124</v>
      </c>
      <c r="E200" s="1" t="n">
        <v>46223</v>
      </c>
      <c r="F200" t="inlineStr">
        <is>
          <t>VÄSTRA GÖTALANDS LÄN</t>
        </is>
      </c>
      <c r="G200" t="inlineStr">
        <is>
          <t>FÄRGELANDA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46223</v>
      </c>
      <c r="F201" t="inlineStr">
        <is>
          <t>VÄSTRA GÖTALANDS LÄN</t>
        </is>
      </c>
      <c r="G201" t="inlineStr">
        <is>
          <t>FÄRGELANDA</t>
        </is>
      </c>
      <c r="I201" t="n">
        <v>18.5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26883-2024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45470</v>
      </c>
      <c r="E202" s="1" t="n">
        <v>46223</v>
      </c>
      <c r="F202" t="inlineStr">
        <is>
          <t>VÄSTRA GÖTALANDS LÄN</t>
        </is>
      </c>
      <c r="G202" t="inlineStr">
        <is>
          <t>FÄRGELANDA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46223</v>
      </c>
      <c r="F203" t="inlineStr">
        <is>
          <t>VÄSTRA GÖTALANDS LÄN</t>
        </is>
      </c>
      <c r="G203" t="inlineStr">
        <is>
          <t>FÄRGELANDA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13559-2024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45388</v>
      </c>
      <c r="E204" s="1" t="n">
        <v>46223</v>
      </c>
      <c r="F204" t="inlineStr">
        <is>
          <t>VÄSTRA GÖTALANDS LÄN</t>
        </is>
      </c>
      <c r="G204" t="inlineStr">
        <is>
          <t>FÄRGELANDA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56614-2022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46223</v>
      </c>
      <c r="F205" t="inlineStr">
        <is>
          <t>VÄSTRA GÖTALANDS LÄN</t>
        </is>
      </c>
      <c r="G205" t="inlineStr">
        <is>
          <t>FÄRGELANDA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46223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17129-2023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46223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46223</v>
      </c>
      <c r="F208" t="inlineStr">
        <is>
          <t>VÄSTRA GÖTALANDS LÄN</t>
        </is>
      </c>
      <c r="G208" t="inlineStr">
        <is>
          <t>FÄRGELANDA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44581</v>
      </c>
      <c r="E209" s="1" t="n">
        <v>46223</v>
      </c>
      <c r="F209" t="inlineStr">
        <is>
          <t>VÄSTRA GÖTALANDS LÄN</t>
        </is>
      </c>
      <c r="G209" t="inlineStr">
        <is>
          <t>FÄRGELANDA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46223</v>
      </c>
      <c r="F210" t="inlineStr">
        <is>
          <t>VÄSTRA GÖTALANDS LÄN</t>
        </is>
      </c>
      <c r="G210" t="inlineStr">
        <is>
          <t>FÄRGELANDA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45643</v>
      </c>
      <c r="E211" s="1" t="n">
        <v>46223</v>
      </c>
      <c r="F211" t="inlineStr">
        <is>
          <t>VÄSTRA GÖTALANDS LÄN</t>
        </is>
      </c>
      <c r="G211" t="inlineStr">
        <is>
          <t>FÄRGELANDA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5437-2022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46223</v>
      </c>
      <c r="F212" t="inlineStr">
        <is>
          <t>VÄSTRA GÖTALANDS LÄN</t>
        </is>
      </c>
      <c r="G212" t="inlineStr">
        <is>
          <t>FÄRGELANDA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20046-2026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46223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46223</v>
      </c>
      <c r="F214" t="inlineStr">
        <is>
          <t>VÄSTRA GÖTALANDS LÄN</t>
        </is>
      </c>
      <c r="G214" t="inlineStr">
        <is>
          <t>FÄRGELANDA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36606-2023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46223</v>
      </c>
      <c r="F215" t="inlineStr">
        <is>
          <t>VÄSTRA GÖTALANDS LÄN</t>
        </is>
      </c>
      <c r="G215" t="inlineStr">
        <is>
          <t>FÄRGELANDA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46223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40630-2023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46223</v>
      </c>
      <c r="F217" t="inlineStr">
        <is>
          <t>VÄSTRA GÖTALANDS LÄN</t>
        </is>
      </c>
      <c r="G217" t="inlineStr">
        <is>
          <t>FÄRGELANDA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46223</v>
      </c>
      <c r="F218" t="inlineStr">
        <is>
          <t>VÄSTRA GÖTALANDS LÄN</t>
        </is>
      </c>
      <c r="G218" t="inlineStr">
        <is>
          <t>FÄRGELANDA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20861-2025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46223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46223</v>
      </c>
      <c r="F220" t="inlineStr">
        <is>
          <t>VÄSTRA GÖTALANDS LÄN</t>
        </is>
      </c>
      <c r="G220" t="inlineStr">
        <is>
          <t>FÄRGELANDA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45091</v>
      </c>
      <c r="E221" s="1" t="n">
        <v>46223</v>
      </c>
      <c r="F221" t="inlineStr">
        <is>
          <t>VÄSTRA GÖTALANDS LÄN</t>
        </is>
      </c>
      <c r="G221" t="inlineStr">
        <is>
          <t>FÄRGELANDA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20266-2026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46223</v>
      </c>
      <c r="F222" t="inlineStr">
        <is>
          <t>VÄSTRA GÖTALANDS LÄN</t>
        </is>
      </c>
      <c r="G222" t="inlineStr">
        <is>
          <t>FÄRGELANDA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46223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42402-2023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46223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45478</v>
      </c>
      <c r="E225" s="1" t="n">
        <v>46223</v>
      </c>
      <c r="F225" t="inlineStr">
        <is>
          <t>VÄSTRA GÖTALANDS LÄN</t>
        </is>
      </c>
      <c r="G225" t="inlineStr">
        <is>
          <t>FÄRGELANDA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46223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46223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46223</v>
      </c>
      <c r="F228" t="inlineStr">
        <is>
          <t>VÄSTRA GÖTALANDS LÄN</t>
        </is>
      </c>
      <c r="G228" t="inlineStr">
        <is>
          <t>FÄRGELANDA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46223</v>
      </c>
      <c r="F229" t="inlineStr">
        <is>
          <t>VÄSTRA GÖTALANDS LÄN</t>
        </is>
      </c>
      <c r="G229" t="inlineStr">
        <is>
          <t>FÄRGELANDA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46223</v>
      </c>
      <c r="F230" t="inlineStr">
        <is>
          <t>VÄSTRA GÖTALANDS LÄN</t>
        </is>
      </c>
      <c r="G230" t="inlineStr">
        <is>
          <t>FÄRGELANDA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46223</v>
      </c>
      <c r="F231" t="inlineStr">
        <is>
          <t>VÄSTRA GÖTALANDS LÄN</t>
        </is>
      </c>
      <c r="G231" t="inlineStr">
        <is>
          <t>FÄRGELANDA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46223</v>
      </c>
      <c r="F232" t="inlineStr">
        <is>
          <t>VÄSTRA GÖTALANDS LÄN</t>
        </is>
      </c>
      <c r="G232" t="inlineStr">
        <is>
          <t>FÄRGELANDA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18538-2022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44686</v>
      </c>
      <c r="E233" s="1" t="n">
        <v>46223</v>
      </c>
      <c r="F233" t="inlineStr">
        <is>
          <t>VÄSTRA GÖTALANDS LÄN</t>
        </is>
      </c>
      <c r="G233" t="inlineStr">
        <is>
          <t>FÄRGELANDA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51019-2023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46223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28803-2022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46223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59960-2024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45642</v>
      </c>
      <c r="E236" s="1" t="n">
        <v>46223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46223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46223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37784-2023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46223</v>
      </c>
      <c r="F239" t="inlineStr">
        <is>
          <t>VÄSTRA GÖTALANDS LÄN</t>
        </is>
      </c>
      <c r="G239" t="inlineStr">
        <is>
          <t>FÄRGELANDA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37787-2023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46223</v>
      </c>
      <c r="F240" t="inlineStr">
        <is>
          <t>VÄSTRA GÖTALANDS LÄN</t>
        </is>
      </c>
      <c r="G240" t="inlineStr">
        <is>
          <t>FÄRGELANDA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37788-2023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46223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59020-2023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45252</v>
      </c>
      <c r="E242" s="1" t="n">
        <v>46223</v>
      </c>
      <c r="F242" t="inlineStr">
        <is>
          <t>VÄSTRA GÖTALANDS LÄN</t>
        </is>
      </c>
      <c r="G242" t="inlineStr">
        <is>
          <t>FÄRGELANDA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46223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46223</v>
      </c>
      <c r="F244" t="inlineStr">
        <is>
          <t>VÄSTRA GÖTALANDS LÄN</t>
        </is>
      </c>
      <c r="G244" t="inlineStr">
        <is>
          <t>FÄRGELANDA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30993-2022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44768</v>
      </c>
      <c r="E245" s="1" t="n">
        <v>46223</v>
      </c>
      <c r="F245" t="inlineStr">
        <is>
          <t>VÄSTRA GÖTALANDS LÄN</t>
        </is>
      </c>
      <c r="G245" t="inlineStr">
        <is>
          <t>FÄRGELANDA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27284-2026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46223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46223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44706</v>
      </c>
      <c r="E248" s="1" t="n">
        <v>46223</v>
      </c>
      <c r="F248" t="inlineStr">
        <is>
          <t>VÄSTRA GÖTALANDS LÄN</t>
        </is>
      </c>
      <c r="G248" t="inlineStr">
        <is>
          <t>FÄRGELANDA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46223</v>
      </c>
      <c r="F249" t="inlineStr">
        <is>
          <t>VÄSTRA GÖTALANDS LÄN</t>
        </is>
      </c>
      <c r="G249" t="inlineStr">
        <is>
          <t>FÄRGELANDA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46223</v>
      </c>
      <c r="F250" t="inlineStr">
        <is>
          <t>VÄSTRA GÖTALANDS LÄN</t>
        </is>
      </c>
      <c r="G250" t="inlineStr">
        <is>
          <t>FÄRGELANDA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27926-2026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46223</v>
      </c>
      <c r="F251" t="inlineStr">
        <is>
          <t>VÄSTRA GÖTALANDS LÄN</t>
        </is>
      </c>
      <c r="G251" t="inlineStr">
        <is>
          <t>FÄRGELANDA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21897-2026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46223</v>
      </c>
      <c r="F252" t="inlineStr">
        <is>
          <t>VÄSTRA GÖTALANDS LÄN</t>
        </is>
      </c>
      <c r="G252" t="inlineStr">
        <is>
          <t>FÄRGELANDA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56616-2022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46223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46223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46223</v>
      </c>
      <c r="F255" t="inlineStr">
        <is>
          <t>VÄSTRA GÖTALANDS LÄN</t>
        </is>
      </c>
      <c r="G255" t="inlineStr">
        <is>
          <t>FÄRGELANDA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47461-2023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46223</v>
      </c>
      <c r="F256" t="inlineStr">
        <is>
          <t>VÄSTRA GÖTALANDS LÄN</t>
        </is>
      </c>
      <c r="G256" t="inlineStr">
        <is>
          <t>FÄRGELANDA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44879</v>
      </c>
      <c r="E257" s="1" t="n">
        <v>46223</v>
      </c>
      <c r="F257" t="inlineStr">
        <is>
          <t>VÄSTRA GÖTALANDS LÄN</t>
        </is>
      </c>
      <c r="G257" t="inlineStr">
        <is>
          <t>FÄRGELANDA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46223</v>
      </c>
      <c r="F258" t="inlineStr">
        <is>
          <t>VÄSTRA GÖTALANDS LÄN</t>
        </is>
      </c>
      <c r="G258" t="inlineStr">
        <is>
          <t>FÄRGELANDA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44546</v>
      </c>
      <c r="E259" s="1" t="n">
        <v>46223</v>
      </c>
      <c r="F259" t="inlineStr">
        <is>
          <t>VÄSTRA GÖTALANDS LÄN</t>
        </is>
      </c>
      <c r="G259" t="inlineStr">
        <is>
          <t>FÄRGELANDA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46223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46223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62146-2023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46223</v>
      </c>
      <c r="F262" t="inlineStr">
        <is>
          <t>VÄSTRA GÖTALANDS LÄN</t>
        </is>
      </c>
      <c r="G262" t="inlineStr">
        <is>
          <t>FÄRGELANDA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46223</v>
      </c>
      <c r="F263" t="inlineStr">
        <is>
          <t>VÄSTRA GÖTALANDS LÄN</t>
        </is>
      </c>
      <c r="G263" t="inlineStr">
        <is>
          <t>FÄRGELANDA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61698-2021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44501</v>
      </c>
      <c r="E264" s="1" t="n">
        <v>46223</v>
      </c>
      <c r="F264" t="inlineStr">
        <is>
          <t>VÄSTRA GÖTALANDS LÄN</t>
        </is>
      </c>
      <c r="G264" t="inlineStr">
        <is>
          <t>FÄRGELANDA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50454-2021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44459</v>
      </c>
      <c r="E265" s="1" t="n">
        <v>46223</v>
      </c>
      <c r="F265" t="inlineStr">
        <is>
          <t>VÄSTRA GÖTALANDS LÄN</t>
        </is>
      </c>
      <c r="G265" t="inlineStr">
        <is>
          <t>FÄRGELANDA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17586-2023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45034</v>
      </c>
      <c r="E266" s="1" t="n">
        <v>46223</v>
      </c>
      <c r="F266" t="inlineStr">
        <is>
          <t>VÄSTRA GÖTALANDS LÄN</t>
        </is>
      </c>
      <c r="G266" t="inlineStr">
        <is>
          <t>FÄRGELANDA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22721-2023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46223</v>
      </c>
      <c r="F267" t="inlineStr">
        <is>
          <t>VÄSTRA GÖTALANDS LÄN</t>
        </is>
      </c>
      <c r="G267" t="inlineStr">
        <is>
          <t>FÄRGELANDA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48479-2025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46223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Kommuner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46040-2021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44441</v>
      </c>
      <c r="E269" s="1" t="n">
        <v>46223</v>
      </c>
      <c r="F269" t="inlineStr">
        <is>
          <t>VÄSTRA GÖTALANDS LÄN</t>
        </is>
      </c>
      <c r="G269" t="inlineStr">
        <is>
          <t>FÄRGELANDA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44595</v>
      </c>
      <c r="E270" s="1" t="n">
        <v>46223</v>
      </c>
      <c r="F270" t="inlineStr">
        <is>
          <t>VÄSTRA GÖTALANDS LÄN</t>
        </is>
      </c>
      <c r="G270" t="inlineStr">
        <is>
          <t>FÄRGELANDA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46223</v>
      </c>
      <c r="F271" t="inlineStr">
        <is>
          <t>VÄSTRA GÖTALANDS LÄN</t>
        </is>
      </c>
      <c r="G271" t="inlineStr">
        <is>
          <t>FÄRGELANDA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21588-2022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46223</v>
      </c>
      <c r="F272" t="inlineStr">
        <is>
          <t>VÄSTRA GÖTALANDS LÄN</t>
        </is>
      </c>
      <c r="G272" t="inlineStr">
        <is>
          <t>FÄRGELANDA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61915-2022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46223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46223</v>
      </c>
      <c r="F274" t="inlineStr">
        <is>
          <t>VÄSTRA GÖTALANDS LÄN</t>
        </is>
      </c>
      <c r="G274" t="inlineStr">
        <is>
          <t>FÄRGELANDA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46223</v>
      </c>
      <c r="F275" t="inlineStr">
        <is>
          <t>VÄSTRA GÖTALANDS LÄN</t>
        </is>
      </c>
      <c r="G275" t="inlineStr">
        <is>
          <t>FÄRGELANDA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53584-2024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46223</v>
      </c>
      <c r="F276" t="inlineStr">
        <is>
          <t>VÄSTRA GÖTALANDS LÄN</t>
        </is>
      </c>
      <c r="G276" t="inlineStr">
        <is>
          <t>FÄRGELANDA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46223</v>
      </c>
      <c r="F277" t="inlineStr">
        <is>
          <t>VÄSTRA GÖTALANDS LÄN</t>
        </is>
      </c>
      <c r="G277" t="inlineStr">
        <is>
          <t>FÄRGELANDA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46223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46223</v>
      </c>
      <c r="F279" t="inlineStr">
        <is>
          <t>VÄSTRA GÖTALANDS LÄN</t>
        </is>
      </c>
      <c r="G279" t="inlineStr">
        <is>
          <t>FÄRGELANDA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46223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30004-2026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46223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46223</v>
      </c>
      <c r="F282" t="inlineStr">
        <is>
          <t>VÄSTRA GÖTALANDS LÄN</t>
        </is>
      </c>
      <c r="G282" t="inlineStr">
        <is>
          <t>FÄRGELANDA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29961-2026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46205</v>
      </c>
      <c r="E283" s="1" t="n">
        <v>46223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Kommuner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39962-2023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46223</v>
      </c>
      <c r="F284" t="inlineStr">
        <is>
          <t>VÄSTRA GÖTALANDS LÄN</t>
        </is>
      </c>
      <c r="G284" t="inlineStr">
        <is>
          <t>FÄRGELANDA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45833-2022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46223</v>
      </c>
      <c r="F285" t="inlineStr">
        <is>
          <t>VÄSTRA GÖTALANDS LÄN</t>
        </is>
      </c>
      <c r="G285" t="inlineStr">
        <is>
          <t>FÄRGELANDA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45036</v>
      </c>
      <c r="E286" s="1" t="n">
        <v>46223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23826-2026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46166</v>
      </c>
      <c r="E287" s="1" t="n">
        <v>46223</v>
      </c>
      <c r="F287" t="inlineStr">
        <is>
          <t>VÄSTRA GÖTALANDS LÄN</t>
        </is>
      </c>
      <c r="G287" t="inlineStr">
        <is>
          <t>FÄRGELANDA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45324</v>
      </c>
      <c r="E288" s="1" t="n">
        <v>46223</v>
      </c>
      <c r="F288" t="inlineStr">
        <is>
          <t>VÄSTRA GÖTALANDS LÄN</t>
        </is>
      </c>
      <c r="G288" t="inlineStr">
        <is>
          <t>FÄRGELANDA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46223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46223</v>
      </c>
      <c r="F290" t="inlineStr">
        <is>
          <t>VÄSTRA GÖTALANDS LÄN</t>
        </is>
      </c>
      <c r="G290" t="inlineStr">
        <is>
          <t>FÄRGELANDA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44958</v>
      </c>
      <c r="E291" s="1" t="n">
        <v>46223</v>
      </c>
      <c r="F291" t="inlineStr">
        <is>
          <t>VÄSTRA GÖTALANDS LÄN</t>
        </is>
      </c>
      <c r="G291" t="inlineStr">
        <is>
          <t>FÄRGELANDA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12110-2026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46086</v>
      </c>
      <c r="E292" s="1" t="n">
        <v>46223</v>
      </c>
      <c r="F292" t="inlineStr">
        <is>
          <t>VÄSTRA GÖTALANDS LÄN</t>
        </is>
      </c>
      <c r="G292" t="inlineStr">
        <is>
          <t>FÄRGELANDA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35173-2024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45530</v>
      </c>
      <c r="E293" s="1" t="n">
        <v>46223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40778-2024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46223</v>
      </c>
      <c r="F294" t="inlineStr">
        <is>
          <t>VÄSTRA GÖTALANDS LÄN</t>
        </is>
      </c>
      <c r="G294" t="inlineStr">
        <is>
          <t>FÄRGELANDA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40778-2024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46223</v>
      </c>
      <c r="F295" t="inlineStr">
        <is>
          <t>VÄSTRA GÖTALANDS LÄN</t>
        </is>
      </c>
      <c r="G295" t="inlineStr">
        <is>
          <t>FÄRGELANDA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46223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46223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46223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46223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46223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31159-2026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46223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Övriga Aktiebolag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25568-2026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46223</v>
      </c>
      <c r="F302" t="inlineStr">
        <is>
          <t>VÄSTRA GÖTALANDS LÄN</t>
        </is>
      </c>
      <c r="G302" t="inlineStr">
        <is>
          <t>FÄRGELANDA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19389-2023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46223</v>
      </c>
      <c r="F303" t="inlineStr">
        <is>
          <t>VÄSTRA GÖTALANDS LÄN</t>
        </is>
      </c>
      <c r="G303" t="inlineStr">
        <is>
          <t>FÄRGELANDA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46223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46223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46223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44846-2024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45574</v>
      </c>
      <c r="E307" s="1" t="n">
        <v>46223</v>
      </c>
      <c r="F307" t="inlineStr">
        <is>
          <t>VÄSTRA GÖTALANDS LÄN</t>
        </is>
      </c>
      <c r="G307" t="inlineStr">
        <is>
          <t>FÄRGELANDA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46223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46223</v>
      </c>
      <c r="F309" t="inlineStr">
        <is>
          <t>VÄSTRA GÖTALANDS LÄN</t>
        </is>
      </c>
      <c r="G309" t="inlineStr">
        <is>
          <t>FÄRGELANDA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46223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46223</v>
      </c>
      <c r="F311" t="inlineStr">
        <is>
          <t>VÄSTRA GÖTALANDS LÄN</t>
        </is>
      </c>
      <c r="G311" t="inlineStr">
        <is>
          <t>FÄRGELANDA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46223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64390-2023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46223</v>
      </c>
      <c r="F313" t="inlineStr">
        <is>
          <t>VÄSTRA GÖTALANDS LÄN</t>
        </is>
      </c>
      <c r="G313" t="inlineStr">
        <is>
          <t>FÄRGELANDA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46223</v>
      </c>
      <c r="F314" t="inlineStr">
        <is>
          <t>VÄSTRA GÖTALANDS LÄN</t>
        </is>
      </c>
      <c r="G314" t="inlineStr">
        <is>
          <t>FÄRGELANDA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60475-2024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45643</v>
      </c>
      <c r="E315" s="1" t="n">
        <v>46223</v>
      </c>
      <c r="F315" t="inlineStr">
        <is>
          <t>VÄSTRA GÖTALANDS LÄN</t>
        </is>
      </c>
      <c r="G315" t="inlineStr">
        <is>
          <t>FÄRGELANDA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16424-2024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46223</v>
      </c>
      <c r="F316" t="inlineStr">
        <is>
          <t>VÄSTRA GÖTALANDS LÄN</t>
        </is>
      </c>
      <c r="G316" t="inlineStr">
        <is>
          <t>FÄRGELANDA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46223</v>
      </c>
      <c r="F317" t="inlineStr">
        <is>
          <t>VÄSTRA GÖTALANDS LÄN</t>
        </is>
      </c>
      <c r="G317" t="inlineStr">
        <is>
          <t>FÄRGELANDA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63176-2023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46223</v>
      </c>
      <c r="F318" t="inlineStr">
        <is>
          <t>VÄSTRA GÖTALANDS LÄN</t>
        </is>
      </c>
      <c r="G318" t="inlineStr">
        <is>
          <t>FÄRGELANDA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12507-2025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46223</v>
      </c>
      <c r="F319" t="inlineStr">
        <is>
          <t>VÄSTRA GÖTALANDS LÄN</t>
        </is>
      </c>
      <c r="G319" t="inlineStr">
        <is>
          <t>FÄRGELANDA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14018-2025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46223</v>
      </c>
      <c r="F320" t="inlineStr">
        <is>
          <t>VÄSTRA GÖTALANDS LÄN</t>
        </is>
      </c>
      <c r="G320" t="inlineStr">
        <is>
          <t>FÄRGELANDA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46223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46223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21125-2025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46223</v>
      </c>
      <c r="F323" t="inlineStr">
        <is>
          <t>VÄSTRA GÖTALANDS LÄN</t>
        </is>
      </c>
      <c r="G323" t="inlineStr">
        <is>
          <t>FÄRGELANDA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46223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46223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60382-2023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46223</v>
      </c>
      <c r="F326" t="inlineStr">
        <is>
          <t>VÄSTRA GÖTALANDS LÄN</t>
        </is>
      </c>
      <c r="G326" t="inlineStr">
        <is>
          <t>FÄRGELANDA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46223</v>
      </c>
      <c r="F327" t="inlineStr">
        <is>
          <t>VÄSTRA GÖTALANDS LÄN</t>
        </is>
      </c>
      <c r="G327" t="inlineStr">
        <is>
          <t>FÄRGELANDA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46223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46223</v>
      </c>
      <c r="F329" t="inlineStr">
        <is>
          <t>VÄSTRA GÖTALANDS LÄN</t>
        </is>
      </c>
      <c r="G329" t="inlineStr">
        <is>
          <t>FÄRGELANDA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24082-2025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46223</v>
      </c>
      <c r="F330" t="inlineStr">
        <is>
          <t>VÄSTRA GÖTALANDS LÄN</t>
        </is>
      </c>
      <c r="G330" t="inlineStr">
        <is>
          <t>FÄRGELANDA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17911-2024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46223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8574-2024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45355</v>
      </c>
      <c r="E332" s="1" t="n">
        <v>46223</v>
      </c>
      <c r="F332" t="inlineStr">
        <is>
          <t>VÄSTRA GÖTALANDS LÄN</t>
        </is>
      </c>
      <c r="G332" t="inlineStr">
        <is>
          <t>FÄRGELANDA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46223</v>
      </c>
      <c r="F333" t="inlineStr">
        <is>
          <t>VÄSTRA GÖTALANDS LÄN</t>
        </is>
      </c>
      <c r="G333" t="inlineStr">
        <is>
          <t>FÄRGELANDA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25095-2025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45800</v>
      </c>
      <c r="E334" s="1" t="n">
        <v>46223</v>
      </c>
      <c r="F334" t="inlineStr">
        <is>
          <t>VÄSTRA GÖTALANDS LÄN</t>
        </is>
      </c>
      <c r="G334" t="inlineStr">
        <is>
          <t>FÄRGELANDA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24751-2025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46223</v>
      </c>
      <c r="F335" t="inlineStr">
        <is>
          <t>VÄSTRA GÖTALANDS LÄN</t>
        </is>
      </c>
      <c r="G335" t="inlineStr">
        <is>
          <t>FÄRGELANDA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46223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2026-07-20T01:49:01Z</dcterms:created>
  <dcterms:modified xmlns:dcterms="http://purl.org/dc/terms/" xmlns:xsi="http://www.w3.org/2001/XMLSchema-instance" xsi:type="dcterms:W3CDTF">2026-07-20T01:49:02Z</dcterms:modified>
</cp:coreProperties>
</file>