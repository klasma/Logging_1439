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33191-2022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44785</v>
      </c>
      <c r="E2" s="1" t="n">
        <v>46326</v>
      </c>
      <c r="F2" t="inlineStr">
        <is>
          <t>VÄSTRA GÖTALANDS LÄN</t>
        </is>
      </c>
      <c r="G2" t="inlineStr">
        <is>
          <t>FÄRGELANDA</t>
        </is>
      </c>
      <c r="I2" t="n">
        <v>13.5</v>
      </c>
      <c r="J2" t="n">
        <v>3</v>
      </c>
      <c r="K2" t="n">
        <v>3</v>
      </c>
      <c r="L2" t="n">
        <v>2</v>
      </c>
      <c r="M2" t="n">
        <v>3</v>
      </c>
      <c r="N2" t="n">
        <v>0</v>
      </c>
      <c r="O2" t="n">
        <v>0</v>
      </c>
      <c r="P2" t="n">
        <v>0</v>
      </c>
      <c r="Q2" t="n">
        <v>5</v>
      </c>
      <c r="R2" t="n">
        <v>3</v>
      </c>
      <c r="S2" t="n">
        <v>9</v>
      </c>
      <c r="T2" t="n">
        <v>18</v>
      </c>
      <c r="U2" t="n">
        <v>18</v>
      </c>
      <c r="V2" s="2" t="inlineStr">
        <is>
          <t>Gul taggsvamp
Knärot
Skirmossa
Dofttaggsvamp
Kattfotslav
Havstulpanlav
Korallblylav
Vätteros
Blåsippa</t>
        </is>
      </c>
      <c r="W2">
        <f>HYPERLINK("https://klasma.github.io/Logging_1439/artfynd/A 33191-2022 artfynd.xlsx", "A 33191-2022")</f>
        <v/>
      </c>
      <c r="X2">
        <f>HYPERLINK("https://klasma.github.io/Logging_1439/kartor/A 33191-2022 karta.png", "A 33191-2022")</f>
        <v/>
      </c>
      <c r="Y2">
        <f>HYPERLINK("https://klasma.github.io/Logging_1439/kartor_geotiff/A 33191-2022 georefererad karta.tif", "A 33191-2022")</f>
        <v/>
      </c>
      <c r="Z2">
        <f>HYPERLINK("https://klasma.github.io/Logging_1439/knärot/A 33191-2022 karta knärot.png", "A 33191-2022")</f>
        <v/>
      </c>
      <c r="AA2">
        <f>HYPERLINK("https://klasma.github.io/Logging_1439/klagomål/A 33191-2022 FSC-klagomål.docx", "A 33191-2022")</f>
        <v/>
      </c>
      <c r="AB2">
        <f>HYPERLINK("https://klasma.github.io/Logging_1439/klagomålsmail/A 33191-2022 FSC-klagomål mail.docx", "A 33191-2022")</f>
        <v/>
      </c>
      <c r="AC2">
        <f>HYPERLINK("https://klasma.github.io/Logging_1439/tillsyn/A 33191-2022 tillsynsbegäran.docx", "A 33191-2022")</f>
        <v/>
      </c>
      <c r="AD2">
        <f>HYPERLINK("https://klasma.github.io/Logging_1439/tillsynsmail/A 33191-2022 tillsynsbegäran mail.docx", "A 33191-2022")</f>
        <v/>
      </c>
    </row>
    <row r="3" ht="15" customHeight="1">
      <c r="A3" t="inlineStr">
        <is>
          <t>A 42324-2025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45904</v>
      </c>
      <c r="E3" s="1" t="n">
        <v>46326</v>
      </c>
      <c r="F3" t="inlineStr">
        <is>
          <t>VÄSTRA GÖTALANDS LÄN</t>
        </is>
      </c>
      <c r="G3" t="inlineStr">
        <is>
          <t>FÄRGELANDA</t>
        </is>
      </c>
      <c r="I3" t="n">
        <v>12</v>
      </c>
      <c r="J3" t="n">
        <v>3</v>
      </c>
      <c r="K3" t="n">
        <v>4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10</v>
      </c>
      <c r="U3" t="n">
        <v>10</v>
      </c>
      <c r="V3" s="2" t="inlineStr">
        <is>
          <t>Kattfotslav
Granbarkgnagare
Grov fjädermossa
Havstulpanlav
Vedticka
Blåsippa
Spillkråka
Kopparödla</t>
        </is>
      </c>
      <c r="W3">
        <f>HYPERLINK("https://klasma.github.io/Logging_1439/artfynd/A 42324-2025 artfynd.xlsx", "A 42324-2025")</f>
        <v/>
      </c>
      <c r="X3">
        <f>HYPERLINK("https://klasma.github.io/Logging_1439/kartor/A 42324-2025 karta.png", "A 42324-2025")</f>
        <v/>
      </c>
      <c r="Y3">
        <f>HYPERLINK("https://klasma.github.io/Logging_1439/kartor_geotiff/A 42324-2025 georefererad karta.tif", "A 42324-2025")</f>
        <v/>
      </c>
      <c r="AA3">
        <f>HYPERLINK("https://klasma.github.io/Logging_1439/klagomål/A 42324-2025 FSC-klagomål.docx", "A 42324-2025")</f>
        <v/>
      </c>
      <c r="AB3">
        <f>HYPERLINK("https://klasma.github.io/Logging_1439/klagomålsmail/A 42324-2025 FSC-klagomål mail.docx", "A 42324-2025")</f>
        <v/>
      </c>
      <c r="AC3">
        <f>HYPERLINK("https://klasma.github.io/Logging_1439/tillsyn/A 42324-2025 tillsynsbegäran.docx", "A 42324-2025")</f>
        <v/>
      </c>
      <c r="AD3">
        <f>HYPERLINK("https://klasma.github.io/Logging_1439/tillsynsmail/A 42324-2025 tillsynsbegäran mail.docx", "A 42324-2025")</f>
        <v/>
      </c>
      <c r="AE3">
        <f>HYPERLINK("https://klasma.github.io/Logging_1439/fåglar/A 42324-2025 prioriterade fågelarter.docx", "A 42324-2025")</f>
        <v/>
      </c>
    </row>
    <row r="4" ht="15" customHeight="1">
      <c r="A4" t="inlineStr">
        <is>
          <t>A 1414-2024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45303</v>
      </c>
      <c r="E4" s="1" t="n">
        <v>46326</v>
      </c>
      <c r="F4" t="inlineStr">
        <is>
          <t>VÄSTRA GÖTALANDS LÄN</t>
        </is>
      </c>
      <c r="G4" t="inlineStr">
        <is>
          <t>FÄRGELANDA</t>
        </is>
      </c>
      <c r="I4" t="n">
        <v>6.7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5</v>
      </c>
      <c r="U4" t="n">
        <v>0</v>
      </c>
      <c r="V4" s="2" t="inlineStr">
        <is>
          <t>Motaggsvamp
Blåmossa
Spillkråka
Revlummer</t>
        </is>
      </c>
      <c r="W4">
        <f>HYPERLINK("https://klasma.github.io/Logging_1439/artfynd/A 1414-2024 artfynd.xlsx", "A 1414-2024")</f>
        <v/>
      </c>
      <c r="X4">
        <f>HYPERLINK("https://klasma.github.io/Logging_1439/kartor/A 1414-2024 karta.png", "A 1414-2024")</f>
        <v/>
      </c>
      <c r="Y4">
        <f>HYPERLINK("https://klasma.github.io/Logging_1439/kartor_geotiff/A 1414-2024 georefererad karta.tif", "A 1414-2024")</f>
        <v/>
      </c>
      <c r="AA4">
        <f>HYPERLINK("https://klasma.github.io/Logging_1439/klagomål/A 1414-2024 FSC-klagomål.docx", "A 1414-2024")</f>
        <v/>
      </c>
      <c r="AB4">
        <f>HYPERLINK("https://klasma.github.io/Logging_1439/klagomålsmail/A 1414-2024 FSC-klagomål mail.docx", "A 1414-2024")</f>
        <v/>
      </c>
      <c r="AC4">
        <f>HYPERLINK("https://klasma.github.io/Logging_1439/tillsyn/A 1414-2024 tillsynsbegäran.docx", "A 1414-2024")</f>
        <v/>
      </c>
      <c r="AD4">
        <f>HYPERLINK("https://klasma.github.io/Logging_1439/tillsynsmail/A 1414-2024 tillsynsbegäran mail.docx", "A 1414-2024")</f>
        <v/>
      </c>
      <c r="AE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44935</v>
      </c>
      <c r="E5" s="1" t="n">
        <v>46326</v>
      </c>
      <c r="F5" t="inlineStr">
        <is>
          <t>VÄSTRA GÖTALANDS LÄN</t>
        </is>
      </c>
      <c r="G5" t="inlineStr">
        <is>
          <t>FÄRGELANDA</t>
        </is>
      </c>
      <c r="I5" t="n">
        <v>6.8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7</v>
      </c>
      <c r="U5" t="n">
        <v>7</v>
      </c>
      <c r="V5" s="2" t="inlineStr">
        <is>
          <t>Spillkråka
Tjäder
Revlummer</t>
        </is>
      </c>
      <c r="W5">
        <f>HYPERLINK("https://klasma.github.io/Logging_1439/artfynd/A 1171-2023 artfynd.xlsx", "A 1171-2023")</f>
        <v/>
      </c>
      <c r="X5">
        <f>HYPERLINK("https://klasma.github.io/Logging_1439/kartor/A 1171-2023 karta.png", "A 1171-2023")</f>
        <v/>
      </c>
      <c r="Y5">
        <f>HYPERLINK("https://klasma.github.io/Logging_1439/kartor_geotiff/A 1171-2023 georefererad karta.tif", "A 1171-2023")</f>
        <v/>
      </c>
      <c r="AA5">
        <f>HYPERLINK("https://klasma.github.io/Logging_1439/klagomål/A 1171-2023 FSC-klagomål.docx", "A 1171-2023")</f>
        <v/>
      </c>
      <c r="AB5">
        <f>HYPERLINK("https://klasma.github.io/Logging_1439/klagomålsmail/A 1171-2023 FSC-klagomål mail.docx", "A 1171-2023")</f>
        <v/>
      </c>
      <c r="AC5">
        <f>HYPERLINK("https://klasma.github.io/Logging_1439/tillsyn/A 1171-2023 tillsynsbegäran.docx", "A 1171-2023")</f>
        <v/>
      </c>
      <c r="AD5">
        <f>HYPERLINK("https://klasma.github.io/Logging_1439/tillsynsmail/A 1171-2023 tillsynsbegäran mail.docx", "A 1171-2023")</f>
        <v/>
      </c>
      <c r="AE5">
        <f>HYPERLINK("https://klasma.github.io/Logging_1439/fåglar/A 1171-2023 prioriterade fågelarter.docx", "A 1171-2023")</f>
        <v/>
      </c>
    </row>
    <row r="6" ht="15" customHeight="1">
      <c r="A6" t="inlineStr">
        <is>
          <t>A 56305-2023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45242</v>
      </c>
      <c r="E6" s="1" t="n">
        <v>46326</v>
      </c>
      <c r="F6" t="inlineStr">
        <is>
          <t>VÄSTRA GÖTALANDS LÄN</t>
        </is>
      </c>
      <c r="G6" t="inlineStr">
        <is>
          <t>FÄRGELANDA</t>
        </is>
      </c>
      <c r="I6" t="n">
        <v>20.1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4</v>
      </c>
      <c r="U6" t="n">
        <v>4</v>
      </c>
      <c r="V6" s="2" t="inlineStr">
        <is>
          <t>Motaggsvamp
Tjäder
Revlummer</t>
        </is>
      </c>
      <c r="W6">
        <f>HYPERLINK("https://klasma.github.io/Logging_1439/artfynd/A 56305-2023 artfynd.xlsx", "A 56305-2023")</f>
        <v/>
      </c>
      <c r="X6">
        <f>HYPERLINK("https://klasma.github.io/Logging_1439/kartor/A 56305-2023 karta.png", "A 56305-2023")</f>
        <v/>
      </c>
      <c r="Y6">
        <f>HYPERLINK("https://klasma.github.io/Logging_1439/kartor_geotiff/A 56305-2023 georefererad karta.tif", "A 56305-2023")</f>
        <v/>
      </c>
      <c r="AA6">
        <f>HYPERLINK("https://klasma.github.io/Logging_1439/klagomål/A 56305-2023 FSC-klagomål.docx", "A 56305-2023")</f>
        <v/>
      </c>
      <c r="AB6">
        <f>HYPERLINK("https://klasma.github.io/Logging_1439/klagomålsmail/A 56305-2023 FSC-klagomål mail.docx", "A 56305-2023")</f>
        <v/>
      </c>
      <c r="AC6">
        <f>HYPERLINK("https://klasma.github.io/Logging_1439/tillsyn/A 56305-2023 tillsynsbegäran.docx", "A 56305-2023")</f>
        <v/>
      </c>
      <c r="AD6">
        <f>HYPERLINK("https://klasma.github.io/Logging_1439/tillsynsmail/A 56305-2023 tillsynsbegäran mail.docx", "A 56305-2023")</f>
        <v/>
      </c>
      <c r="AE6">
        <f>HYPERLINK("https://klasma.github.io/Logging_1439/fåglar/A 56305-2023 prioriterade fågelarter.docx", "A 56305-2023")</f>
        <v/>
      </c>
    </row>
    <row r="7" ht="15" customHeight="1">
      <c r="A7" t="inlineStr">
        <is>
          <t>A 32536-2026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46239</v>
      </c>
      <c r="E7" s="1" t="n">
        <v>46326</v>
      </c>
      <c r="F7" t="inlineStr">
        <is>
          <t>VÄSTRA GÖTALANDS LÄN</t>
        </is>
      </c>
      <c r="G7" t="inlineStr">
        <is>
          <t>FÄRGELANDA</t>
        </is>
      </c>
      <c r="I7" t="n">
        <v>4.9</v>
      </c>
      <c r="J7" t="n">
        <v>1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Skogssvingel
Svavelriska
Blåsippa</t>
        </is>
      </c>
      <c r="W7">
        <f>HYPERLINK("https://klasma.github.io/Logging_1439/artfynd/A 32536-2026 artfynd.xlsx", "A 32536-2026")</f>
        <v/>
      </c>
      <c r="X7">
        <f>HYPERLINK("https://klasma.github.io/Logging_1439/kartor/A 32536-2026 karta.png", "A 32536-2026")</f>
        <v/>
      </c>
      <c r="Y7">
        <f>HYPERLINK("https://klasma.github.io/Logging_1439/kartor_geotiff/A 32536-2026 georefererad karta.tif", "A 32536-2026")</f>
        <v/>
      </c>
      <c r="AA7">
        <f>HYPERLINK("https://klasma.github.io/Logging_1439/klagomål/A 32536-2026 FSC-klagomål.docx", "A 32536-2026")</f>
        <v/>
      </c>
      <c r="AB7">
        <f>HYPERLINK("https://klasma.github.io/Logging_1439/klagomålsmail/A 32536-2026 FSC-klagomål mail.docx", "A 32536-2026")</f>
        <v/>
      </c>
      <c r="AC7">
        <f>HYPERLINK("https://klasma.github.io/Logging_1439/tillsyn/A 32536-2026 tillsynsbegäran.docx", "A 32536-2026")</f>
        <v/>
      </c>
      <c r="AD7">
        <f>HYPERLINK("https://klasma.github.io/Logging_1439/tillsynsmail/A 32536-2026 tillsynsbegäran mail.docx", "A 32536-2026")</f>
        <v/>
      </c>
    </row>
    <row r="8" ht="15" customHeight="1">
      <c r="A8" t="inlineStr">
        <is>
          <t>A 45211-2026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46325</v>
      </c>
      <c r="E8" s="1" t="n">
        <v>46326</v>
      </c>
      <c r="F8" t="inlineStr">
        <is>
          <t>VÄSTRA GÖTALANDS LÄN</t>
        </is>
      </c>
      <c r="G8" t="inlineStr">
        <is>
          <t>FÄRGELANDA</t>
        </is>
      </c>
      <c r="I8" t="n">
        <v>0.7</v>
      </c>
      <c r="J8" t="n">
        <v>0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0</v>
      </c>
      <c r="V8" s="2" t="inlineStr">
        <is>
          <t>Dofttaggsvamp
Vedtrappmossa
Purpurmylia</t>
        </is>
      </c>
      <c r="W8">
        <f>HYPERLINK("https://klasma.github.io/Logging_1439/artfynd/A 45211-2026 artfynd.xlsx", "A 45211-2026")</f>
        <v/>
      </c>
      <c r="X8">
        <f>HYPERLINK("https://klasma.github.io/Logging_1439/kartor/A 45211-2026 karta.png", "A 45211-2026")</f>
        <v/>
      </c>
      <c r="Y8">
        <f>HYPERLINK("https://klasma.github.io/Logging_1439/kartor_geotiff/A 45211-2026 georefererad karta.tif", "A 45211-2026")</f>
        <v/>
      </c>
      <c r="AA8">
        <f>HYPERLINK("https://klasma.github.io/Logging_1439/klagomål/A 45211-2026 FSC-klagomål.docx", "A 45211-2026")</f>
        <v/>
      </c>
      <c r="AB8">
        <f>HYPERLINK("https://klasma.github.io/Logging_1439/klagomålsmail/A 45211-2026 FSC-klagomål mail.docx", "A 45211-2026")</f>
        <v/>
      </c>
      <c r="AC8">
        <f>HYPERLINK("https://klasma.github.io/Logging_1439/tillsyn/A 45211-2026 tillsynsbegäran.docx", "A 45211-2026")</f>
        <v/>
      </c>
      <c r="AD8">
        <f>HYPERLINK("https://klasma.github.io/Logging_1439/tillsynsmail/A 45211-2026 tillsynsbegäran mail.docx", "A 45211-2026")</f>
        <v/>
      </c>
    </row>
    <row r="9" ht="15" customHeight="1">
      <c r="A9" t="inlineStr">
        <is>
          <t>A 38771-2024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45547</v>
      </c>
      <c r="E9" s="1" t="n">
        <v>46326</v>
      </c>
      <c r="F9" t="inlineStr">
        <is>
          <t>VÄSTRA GÖTALANDS LÄN</t>
        </is>
      </c>
      <c r="G9" t="inlineStr">
        <is>
          <t>FÄRGELANDA</t>
        </is>
      </c>
      <c r="I9" t="n">
        <v>4.9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4</v>
      </c>
      <c r="U9" t="n">
        <v>0</v>
      </c>
      <c r="V9" s="2" t="inlineStr">
        <is>
          <t>Dropptaggsvamp
Revlummer</t>
        </is>
      </c>
      <c r="W9">
        <f>HYPERLINK("https://klasma.github.io/Logging_1439/artfynd/A 38771-2024 artfynd.xlsx", "A 38771-2024")</f>
        <v/>
      </c>
      <c r="X9">
        <f>HYPERLINK("https://klasma.github.io/Logging_1439/kartor/A 38771-2024 karta.png", "A 38771-2024")</f>
        <v/>
      </c>
      <c r="Y9">
        <f>HYPERLINK("https://klasma.github.io/Logging_1439/kartor_geotiff/A 38771-2024 georefererad karta.tif", "A 38771-2024")</f>
        <v/>
      </c>
      <c r="AA9">
        <f>HYPERLINK("https://klasma.github.io/Logging_1439/klagomål/A 38771-2024 FSC-klagomål.docx", "A 38771-2024")</f>
        <v/>
      </c>
      <c r="AB9">
        <f>HYPERLINK("https://klasma.github.io/Logging_1439/klagomålsmail/A 38771-2024 FSC-klagomål mail.docx", "A 38771-2024")</f>
        <v/>
      </c>
      <c r="AC9">
        <f>HYPERLINK("https://klasma.github.io/Logging_1439/tillsyn/A 38771-2024 tillsynsbegäran.docx", "A 38771-2024")</f>
        <v/>
      </c>
      <c r="AD9">
        <f>HYPERLINK("https://klasma.github.io/Logging_1439/tillsynsmail/A 38771-2024 tillsynsbegäran mail.docx", "A 38771-2024")</f>
        <v/>
      </c>
    </row>
    <row r="10" ht="15" customHeight="1">
      <c r="A10" t="inlineStr">
        <is>
          <t>A 24074-2023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45078</v>
      </c>
      <c r="E10" s="1" t="n">
        <v>46326</v>
      </c>
      <c r="F10" t="inlineStr">
        <is>
          <t>VÄSTRA GÖTALANDS LÄN</t>
        </is>
      </c>
      <c r="G10" t="inlineStr">
        <is>
          <t>FÄRGELANDA</t>
        </is>
      </c>
      <c r="I10" t="n">
        <v>0.5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1</v>
      </c>
      <c r="V10" s="2" t="inlineStr">
        <is>
          <t>Vätteros
Blåsippa</t>
        </is>
      </c>
      <c r="W10">
        <f>HYPERLINK("https://klasma.github.io/Logging_1439/artfynd/A 24074-2023 artfynd.xlsx", "A 24074-2023")</f>
        <v/>
      </c>
      <c r="X10">
        <f>HYPERLINK("https://klasma.github.io/Logging_1439/kartor/A 24074-2023 karta.png", "A 24074-2023")</f>
        <v/>
      </c>
      <c r="Y10">
        <f>HYPERLINK("https://klasma.github.io/Logging_1439/kartor_geotiff/A 24074-2023 georefererad karta.tif", "A 24074-2023")</f>
        <v/>
      </c>
      <c r="AA10">
        <f>HYPERLINK("https://klasma.github.io/Logging_1439/klagomål/A 24074-2023 FSC-klagomål.docx", "A 24074-2023")</f>
        <v/>
      </c>
      <c r="AB10">
        <f>HYPERLINK("https://klasma.github.io/Logging_1439/klagomålsmail/A 24074-2023 FSC-klagomål mail.docx", "A 24074-2023")</f>
        <v/>
      </c>
      <c r="AC10">
        <f>HYPERLINK("https://klasma.github.io/Logging_1439/tillsyn/A 24074-2023 tillsynsbegäran.docx", "A 24074-2023")</f>
        <v/>
      </c>
      <c r="AD10">
        <f>HYPERLINK("https://klasma.github.io/Logging_1439/tillsynsmail/A 24074-2023 tillsynsbegäran mail.docx", "A 24074-2023")</f>
        <v/>
      </c>
    </row>
    <row r="11" ht="15" customHeight="1">
      <c r="A11" t="inlineStr">
        <is>
          <t>A 62751-2021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44504</v>
      </c>
      <c r="E11" s="1" t="n">
        <v>46326</v>
      </c>
      <c r="F11" t="inlineStr">
        <is>
          <t>VÄSTRA GÖTALANDS LÄN</t>
        </is>
      </c>
      <c r="G11" t="inlineStr">
        <is>
          <t>FÄRGELANDA</t>
        </is>
      </c>
      <c r="I11" t="n">
        <v>7.1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Grynig filtlav
Korallblylav</t>
        </is>
      </c>
      <c r="W11">
        <f>HYPERLINK("https://klasma.github.io/Logging_1439/artfynd/A 62751-2021 artfynd.xlsx", "A 62751-2021")</f>
        <v/>
      </c>
      <c r="X11">
        <f>HYPERLINK("https://klasma.github.io/Logging_1439/kartor/A 62751-2021 karta.png", "A 62751-2021")</f>
        <v/>
      </c>
      <c r="Y11">
        <f>HYPERLINK("https://klasma.github.io/Logging_1439/kartor_geotiff/A 62751-2021 georefererad karta.tif", "A 62751-2021")</f>
        <v/>
      </c>
      <c r="AA11">
        <f>HYPERLINK("https://klasma.github.io/Logging_1439/klagomål/A 62751-2021 FSC-klagomål.docx", "A 62751-2021")</f>
        <v/>
      </c>
      <c r="AB11">
        <f>HYPERLINK("https://klasma.github.io/Logging_1439/klagomålsmail/A 62751-2021 FSC-klagomål mail.docx", "A 62751-2021")</f>
        <v/>
      </c>
      <c r="AC11">
        <f>HYPERLINK("https://klasma.github.io/Logging_1439/tillsyn/A 62751-2021 tillsynsbegäran.docx", "A 62751-2021")</f>
        <v/>
      </c>
      <c r="AD11">
        <f>HYPERLINK("https://klasma.github.io/Logging_1439/tillsynsmail/A 62751-2021 tillsynsbegäran mail.docx", "A 62751-2021")</f>
        <v/>
      </c>
    </row>
    <row r="12" ht="15" customHeight="1">
      <c r="A12" t="inlineStr">
        <is>
          <t>A 25091-2026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46175</v>
      </c>
      <c r="E12" s="1" t="n">
        <v>46326</v>
      </c>
      <c r="F12" t="inlineStr">
        <is>
          <t>VÄSTRA GÖTALANDS LÄN</t>
        </is>
      </c>
      <c r="G12" t="inlineStr">
        <is>
          <t>FÄRGELANDA</t>
        </is>
      </c>
      <c r="I12" t="n">
        <v>4.4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Grön sköldmossa
Kornknutmossa</t>
        </is>
      </c>
      <c r="W12">
        <f>HYPERLINK("https://klasma.github.io/Logging_1439/artfynd/A 25091-2026 artfynd.xlsx", "A 25091-2026")</f>
        <v/>
      </c>
      <c r="X12">
        <f>HYPERLINK("https://klasma.github.io/Logging_1439/kartor/A 25091-2026 karta.png", "A 25091-2026")</f>
        <v/>
      </c>
      <c r="Y12">
        <f>HYPERLINK("https://klasma.github.io/Logging_1439/kartor_geotiff/A 25091-2026 georefererad karta.tif", "A 25091-2026")</f>
        <v/>
      </c>
      <c r="AA12">
        <f>HYPERLINK("https://klasma.github.io/Logging_1439/klagomål/A 25091-2026 FSC-klagomål.docx", "A 25091-2026")</f>
        <v/>
      </c>
      <c r="AB12">
        <f>HYPERLINK("https://klasma.github.io/Logging_1439/klagomålsmail/A 25091-2026 FSC-klagomål mail.docx", "A 25091-2026")</f>
        <v/>
      </c>
      <c r="AC12">
        <f>HYPERLINK("https://klasma.github.io/Logging_1439/tillsyn/A 25091-2026 tillsynsbegäran.docx", "A 25091-2026")</f>
        <v/>
      </c>
      <c r="AD12">
        <f>HYPERLINK("https://klasma.github.io/Logging_1439/tillsynsmail/A 25091-2026 tillsynsbegäran mail.docx", "A 25091-2026")</f>
        <v/>
      </c>
    </row>
    <row r="13" ht="15" customHeight="1">
      <c r="A13" t="inlineStr">
        <is>
          <t>S 6820-2021</t>
        </is>
      </c>
      <c r="B13" t="inlineStr">
        <is>
          <t>samrådsanmälan</t>
        </is>
      </c>
      <c r="C13" t="inlineStr">
        <is>
          <t>Åtgärd i nyckelbiotop</t>
        </is>
      </c>
      <c r="D13" s="1" t="n">
        <v>44453</v>
      </c>
      <c r="E13" s="1" t="n">
        <v>46326</v>
      </c>
      <c r="F13" t="inlineStr">
        <is>
          <t>VÄSTRA GÖTALANDS LÄN</t>
        </is>
      </c>
      <c r="G13" t="inlineStr">
        <is>
          <t>FÄRGELANDA</t>
        </is>
      </c>
      <c r="I13" t="n">
        <v>0.9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Scharlakansvaxing
Traslav</t>
        </is>
      </c>
      <c r="W13">
        <f>HYPERLINK("https://klasma.github.io/Logging_1439/artfynd/S 6820-2021 artfynd.xlsx", "S 6820-2021")</f>
        <v/>
      </c>
      <c r="X13">
        <f>HYPERLINK("https://klasma.github.io/Logging_1439/kartor/S 6820-2021 karta.png", "S 6820-2021")</f>
        <v/>
      </c>
      <c r="Y13">
        <f>HYPERLINK("https://klasma.github.io/Logging_1439/kartor_geotiff/S 6820-2021 georefererad karta.tif", "S 6820-2021")</f>
        <v/>
      </c>
      <c r="AA13">
        <f>HYPERLINK("https://klasma.github.io/Logging_1439/klagomål/S 6820-2021 FSC-klagomål.docx", "S 6820-2021")</f>
        <v/>
      </c>
      <c r="AB13">
        <f>HYPERLINK("https://klasma.github.io/Logging_1439/klagomålsmail/S 6820-2021 FSC-klagomål mail.docx", "S 6820-2021")</f>
        <v/>
      </c>
      <c r="AC13">
        <f>HYPERLINK("https://klasma.github.io/Logging_1439/tillsyn/S 6820-2021 tillsynsbegäran.docx", "S 6820-2021")</f>
        <v/>
      </c>
      <c r="AD13">
        <f>HYPERLINK("https://klasma.github.io/Logging_1439/tillsynsmail/S 6820-2021 tillsynsbegäran mail.docx", "S 6820-2021")</f>
        <v/>
      </c>
    </row>
    <row r="14" ht="15" customHeight="1">
      <c r="A14" t="inlineStr">
        <is>
          <t>S 2510-2024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45474</v>
      </c>
      <c r="E14" s="1" t="n">
        <v>46326</v>
      </c>
      <c r="F14" t="inlineStr">
        <is>
          <t>VÄSTRA GÖTALANDS LÄN</t>
        </is>
      </c>
      <c r="G14" t="inlineStr">
        <is>
          <t>FÄRGELANDA</t>
        </is>
      </c>
      <c r="I14" t="n">
        <v>0</v>
      </c>
      <c r="J14" t="n">
        <v>1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2</v>
      </c>
      <c r="U14" t="n">
        <v>0</v>
      </c>
      <c r="V14" s="2" t="inlineStr">
        <is>
          <t>Timmerskapania
Blåsippa</t>
        </is>
      </c>
      <c r="W14">
        <f>HYPERLINK("https://klasma.github.io/Logging_1439/artfynd/S 2510-2024 artfynd.xlsx", "S 2510-2024")</f>
        <v/>
      </c>
      <c r="X14">
        <f>HYPERLINK("https://klasma.github.io/Logging_1439/kartor/S 2510-2024 karta.png", "S 2510-2024")</f>
        <v/>
      </c>
      <c r="Y14">
        <f>HYPERLINK("https://klasma.github.io/Logging_1439/kartor_geotiff/S 2510-2024 georefererad karta.tif", "S 2510-2024")</f>
        <v/>
      </c>
      <c r="AA14">
        <f>HYPERLINK("https://klasma.github.io/Logging_1439/klagomål/S 2510-2024 FSC-klagomål.docx", "S 2510-2024")</f>
        <v/>
      </c>
      <c r="AB14">
        <f>HYPERLINK("https://klasma.github.io/Logging_1439/klagomålsmail/S 2510-2024 FSC-klagomål mail.docx", "S 2510-2024")</f>
        <v/>
      </c>
      <c r="AC14">
        <f>HYPERLINK("https://klasma.github.io/Logging_1439/tillsyn/S 2510-2024 tillsynsbegäran.docx", "S 2510-2024")</f>
        <v/>
      </c>
      <c r="AD14">
        <f>HYPERLINK("https://klasma.github.io/Logging_1439/tillsynsmail/S 2510-2024 tillsynsbegäran mail.docx", "S 2510-2024")</f>
        <v/>
      </c>
    </row>
    <row r="15" ht="15" customHeight="1">
      <c r="A15" t="inlineStr">
        <is>
          <t>A 9308-2025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45714</v>
      </c>
      <c r="E15" s="1" t="n">
        <v>46326</v>
      </c>
      <c r="F15" t="inlineStr">
        <is>
          <t>VÄSTRA GÖTALANDS LÄN</t>
        </is>
      </c>
      <c r="G15" t="inlineStr">
        <is>
          <t>FÄRGELANDA</t>
        </is>
      </c>
      <c r="I15" t="n">
        <v>1.2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Ask</t>
        </is>
      </c>
      <c r="W15">
        <f>HYPERLINK("https://klasma.github.io/Logging_1439/artfynd/A 9308-2025 artfynd.xlsx", "A 9308-2025")</f>
        <v/>
      </c>
      <c r="X15">
        <f>HYPERLINK("https://klasma.github.io/Logging_1439/kartor/A 9308-2025 karta.png", "A 9308-2025")</f>
        <v/>
      </c>
      <c r="Y15">
        <f>HYPERLINK("https://klasma.github.io/Logging_1439/kartor_geotiff/A 9308-2025 georefererad karta.tif", "A 9308-2025")</f>
        <v/>
      </c>
      <c r="AA15">
        <f>HYPERLINK("https://klasma.github.io/Logging_1439/klagomål/A 9308-2025 FSC-klagomål.docx", "A 9308-2025")</f>
        <v/>
      </c>
      <c r="AB15">
        <f>HYPERLINK("https://klasma.github.io/Logging_1439/klagomålsmail/A 9308-2025 FSC-klagomål mail.docx", "A 9308-2025")</f>
        <v/>
      </c>
      <c r="AC15">
        <f>HYPERLINK("https://klasma.github.io/Logging_1439/tillsyn/A 9308-2025 tillsynsbegäran.docx", "A 9308-2025")</f>
        <v/>
      </c>
      <c r="AD15">
        <f>HYPERLINK("https://klasma.github.io/Logging_1439/tillsynsmail/A 9308-2025 tillsynsbegäran mail.docx", "A 9308-2025")</f>
        <v/>
      </c>
    </row>
    <row r="16" ht="15" customHeight="1">
      <c r="A16" t="inlineStr">
        <is>
          <t>A 60624-2022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44911</v>
      </c>
      <c r="E16" s="1" t="n">
        <v>46326</v>
      </c>
      <c r="F16" t="inlineStr">
        <is>
          <t>VÄSTRA GÖTALANDS LÄN</t>
        </is>
      </c>
      <c r="G16" t="inlineStr">
        <is>
          <t>FÄRGELANDA</t>
        </is>
      </c>
      <c r="I16" t="n">
        <v>1.7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Revlummer</t>
        </is>
      </c>
      <c r="W16">
        <f>HYPERLINK("https://klasma.github.io/Logging_1439/artfynd/A 60624-2022 artfynd.xlsx", "A 60624-2022")</f>
        <v/>
      </c>
      <c r="X16">
        <f>HYPERLINK("https://klasma.github.io/Logging_1439/kartor/A 60624-2022 karta.png", "A 60624-2022")</f>
        <v/>
      </c>
      <c r="Y16">
        <f>HYPERLINK("https://klasma.github.io/Logging_1439/kartor_geotiff/A 60624-2022 georefererad karta.tif", "A 60624-2022")</f>
        <v/>
      </c>
      <c r="AA16">
        <f>HYPERLINK("https://klasma.github.io/Logging_1439/klagomål/A 60624-2022 FSC-klagomål.docx", "A 60624-2022")</f>
        <v/>
      </c>
      <c r="AB16">
        <f>HYPERLINK("https://klasma.github.io/Logging_1439/klagomålsmail/A 60624-2022 FSC-klagomål mail.docx", "A 60624-2022")</f>
        <v/>
      </c>
      <c r="AC16">
        <f>HYPERLINK("https://klasma.github.io/Logging_1439/tillsyn/A 60624-2022 tillsynsbegäran.docx", "A 60624-2022")</f>
        <v/>
      </c>
      <c r="AD16">
        <f>HYPERLINK("https://klasma.github.io/Logging_1439/tillsynsmail/A 60624-2022 tillsynsbegäran mail.docx", "A 60624-2022")</f>
        <v/>
      </c>
    </row>
    <row r="17" ht="15" customHeight="1">
      <c r="A17" t="inlineStr">
        <is>
          <t>A 57683-2023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45246</v>
      </c>
      <c r="E17" s="1" t="n">
        <v>46326</v>
      </c>
      <c r="F17" t="inlineStr">
        <is>
          <t>VÄSTRA GÖTALANDS LÄN</t>
        </is>
      </c>
      <c r="G17" t="inlineStr">
        <is>
          <t>FÄRGELANDA</t>
        </is>
      </c>
      <c r="I17" t="n">
        <v>4.1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Källfräne</t>
        </is>
      </c>
      <c r="W17">
        <f>HYPERLINK("https://klasma.github.io/Logging_1439/artfynd/A 57683-2023 artfynd.xlsx", "A 57683-2023")</f>
        <v/>
      </c>
      <c r="X17">
        <f>HYPERLINK("https://klasma.github.io/Logging_1439/kartor/A 57683-2023 karta.png", "A 57683-2023")</f>
        <v/>
      </c>
      <c r="Y17">
        <f>HYPERLINK("https://klasma.github.io/Logging_1439/kartor_geotiff/A 57683-2023 georefererad karta.tif", "A 57683-2023")</f>
        <v/>
      </c>
      <c r="AA17">
        <f>HYPERLINK("https://klasma.github.io/Logging_1439/klagomål/A 57683-2023 FSC-klagomål.docx", "A 57683-2023")</f>
        <v/>
      </c>
      <c r="AB17">
        <f>HYPERLINK("https://klasma.github.io/Logging_1439/klagomålsmail/A 57683-2023 FSC-klagomål mail.docx", "A 57683-2023")</f>
        <v/>
      </c>
      <c r="AC17">
        <f>HYPERLINK("https://klasma.github.io/Logging_1439/tillsyn/A 57683-2023 tillsynsbegäran.docx", "A 57683-2023")</f>
        <v/>
      </c>
      <c r="AD17">
        <f>HYPERLINK("https://klasma.github.io/Logging_1439/tillsynsmail/A 57683-2023 tillsynsbegäran mail.docx", "A 57683-2023")</f>
        <v/>
      </c>
    </row>
    <row r="18" ht="15" customHeight="1">
      <c r="A18" t="inlineStr">
        <is>
          <t>A 19083-2025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45766</v>
      </c>
      <c r="E18" s="1" t="n">
        <v>46326</v>
      </c>
      <c r="F18" t="inlineStr">
        <is>
          <t>VÄSTRA GÖTALANDS LÄN</t>
        </is>
      </c>
      <c r="G18" t="inlineStr">
        <is>
          <t>FÄRGELANDA</t>
        </is>
      </c>
      <c r="I18" t="n">
        <v>6.2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1</v>
      </c>
      <c r="V18" s="2" t="inlineStr">
        <is>
          <t>Igelkott</t>
        </is>
      </c>
      <c r="W18">
        <f>HYPERLINK("https://klasma.github.io/Logging_1439/artfynd/A 19083-2025 artfynd.xlsx", "A 19083-2025")</f>
        <v/>
      </c>
      <c r="X18">
        <f>HYPERLINK("https://klasma.github.io/Logging_1439/kartor/A 19083-2025 karta.png", "A 19083-2025")</f>
        <v/>
      </c>
      <c r="Y18">
        <f>HYPERLINK("https://klasma.github.io/Logging_1439/kartor_geotiff/A 19083-2025 georefererad karta.tif", "A 19083-2025")</f>
        <v/>
      </c>
      <c r="AA18">
        <f>HYPERLINK("https://klasma.github.io/Logging_1439/klagomål/A 19083-2025 FSC-klagomål.docx", "A 19083-2025")</f>
        <v/>
      </c>
      <c r="AB18">
        <f>HYPERLINK("https://klasma.github.io/Logging_1439/klagomålsmail/A 19083-2025 FSC-klagomål mail.docx", "A 19083-2025")</f>
        <v/>
      </c>
      <c r="AC18">
        <f>HYPERLINK("https://klasma.github.io/Logging_1439/tillsyn/A 19083-2025 tillsynsbegäran.docx", "A 19083-2025")</f>
        <v/>
      </c>
      <c r="AD18">
        <f>HYPERLINK("https://klasma.github.io/Logging_1439/tillsynsmail/A 19083-2025 tillsynsbegäran mail.docx", "A 19083-2025")</f>
        <v/>
      </c>
    </row>
    <row r="19" ht="15" customHeight="1">
      <c r="A19" t="inlineStr">
        <is>
          <t>A 36645-2023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45153</v>
      </c>
      <c r="E19" s="1" t="n">
        <v>46326</v>
      </c>
      <c r="F19" t="inlineStr">
        <is>
          <t>VÄSTRA GÖTALANDS LÄN</t>
        </is>
      </c>
      <c r="G19" t="inlineStr">
        <is>
          <t>FÄRGELANDA</t>
        </is>
      </c>
      <c r="I19" t="n">
        <v>6.6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Spindelblomster</t>
        </is>
      </c>
      <c r="W19">
        <f>HYPERLINK("https://klasma.github.io/Logging_1439/artfynd/A 36645-2023 artfynd.xlsx", "A 36645-2023")</f>
        <v/>
      </c>
      <c r="X19">
        <f>HYPERLINK("https://klasma.github.io/Logging_1439/kartor/A 36645-2023 karta.png", "A 36645-2023")</f>
        <v/>
      </c>
      <c r="Y19">
        <f>HYPERLINK("https://klasma.github.io/Logging_1439/kartor_geotiff/A 36645-2023 georefererad karta.tif", "A 36645-2023")</f>
        <v/>
      </c>
      <c r="AA19">
        <f>HYPERLINK("https://klasma.github.io/Logging_1439/klagomål/A 36645-2023 FSC-klagomål.docx", "A 36645-2023")</f>
        <v/>
      </c>
      <c r="AB19">
        <f>HYPERLINK("https://klasma.github.io/Logging_1439/klagomålsmail/A 36645-2023 FSC-klagomål mail.docx", "A 36645-2023")</f>
        <v/>
      </c>
      <c r="AC19">
        <f>HYPERLINK("https://klasma.github.io/Logging_1439/tillsyn/A 36645-2023 tillsynsbegäran.docx", "A 36645-2023")</f>
        <v/>
      </c>
      <c r="AD19">
        <f>HYPERLINK("https://klasma.github.io/Logging_1439/tillsynsmail/A 36645-2023 tillsynsbegäran mail.docx", "A 36645-2023")</f>
        <v/>
      </c>
    </row>
    <row r="20" ht="15" customHeight="1">
      <c r="A20" t="inlineStr">
        <is>
          <t>A 41946-2026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46303</v>
      </c>
      <c r="E20" s="1" t="n">
        <v>46326</v>
      </c>
      <c r="F20" t="inlineStr">
        <is>
          <t>VÄSTRA GÖTALANDS LÄN</t>
        </is>
      </c>
      <c r="G20" t="inlineStr">
        <is>
          <t>FÄRGELANDA</t>
        </is>
      </c>
      <c r="I20" t="n">
        <v>8.800000000000001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2</v>
      </c>
      <c r="U20" t="n">
        <v>0</v>
      </c>
      <c r="V20" s="2" t="inlineStr">
        <is>
          <t>Svinrot</t>
        </is>
      </c>
      <c r="W20">
        <f>HYPERLINK("https://klasma.github.io/Logging_1439/artfynd/A 41946-2026 artfynd.xlsx", "A 41946-2026")</f>
        <v/>
      </c>
      <c r="X20">
        <f>HYPERLINK("https://klasma.github.io/Logging_1439/kartor/A 41946-2026 karta.png", "A 41946-2026")</f>
        <v/>
      </c>
      <c r="Y20">
        <f>HYPERLINK("https://klasma.github.io/Logging_1439/kartor_geotiff/A 41946-2026 georefererad karta.tif", "A 41946-2026")</f>
        <v/>
      </c>
      <c r="AA20">
        <f>HYPERLINK("https://klasma.github.io/Logging_1439/klagomål/A 41946-2026 FSC-klagomål.docx", "A 41946-2026")</f>
        <v/>
      </c>
      <c r="AB20">
        <f>HYPERLINK("https://klasma.github.io/Logging_1439/klagomålsmail/A 41946-2026 FSC-klagomål mail.docx", "A 41946-2026")</f>
        <v/>
      </c>
      <c r="AC20">
        <f>HYPERLINK("https://klasma.github.io/Logging_1439/tillsyn/A 41946-2026 tillsynsbegäran.docx", "A 41946-2026")</f>
        <v/>
      </c>
      <c r="AD20">
        <f>HYPERLINK("https://klasma.github.io/Logging_1439/tillsynsmail/A 41946-2026 tillsynsbegäran mail.docx", "A 41946-2026")</f>
        <v/>
      </c>
    </row>
    <row r="21" ht="15" customHeight="1">
      <c r="A21" t="inlineStr">
        <is>
          <t>A 43664-2022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44837</v>
      </c>
      <c r="E21" s="1" t="n">
        <v>46326</v>
      </c>
      <c r="F21" t="inlineStr">
        <is>
          <t>VÄSTRA GÖTALANDS LÄN</t>
        </is>
      </c>
      <c r="G21" t="inlineStr">
        <is>
          <t>FÄRGELANDA</t>
        </is>
      </c>
      <c r="H21" t="inlineStr">
        <is>
          <t>Kommuner</t>
        </is>
      </c>
      <c r="I21" t="n">
        <v>0.8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5455-2022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44595</v>
      </c>
      <c r="E22" s="1" t="n">
        <v>46326</v>
      </c>
      <c r="F22" t="inlineStr">
        <is>
          <t>VÄSTRA GÖTALANDS LÄN</t>
        </is>
      </c>
      <c r="G22" t="inlineStr">
        <is>
          <t>FÄRGELANDA</t>
        </is>
      </c>
      <c r="I22" t="n">
        <v>4.8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74066-2021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44557</v>
      </c>
      <c r="E23" s="1" t="n">
        <v>46326</v>
      </c>
      <c r="F23" t="inlineStr">
        <is>
          <t>VÄSTRA GÖTALANDS LÄN</t>
        </is>
      </c>
      <c r="G23" t="inlineStr">
        <is>
          <t>FÄRGELANDA</t>
        </is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65481-2021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44516</v>
      </c>
      <c r="E24" s="1" t="n">
        <v>46326</v>
      </c>
      <c r="F24" t="inlineStr">
        <is>
          <t>VÄSTRA GÖTALANDS LÄN</t>
        </is>
      </c>
      <c r="G24" t="inlineStr">
        <is>
          <t>FÄRGELANDA</t>
        </is>
      </c>
      <c r="I24" t="n">
        <v>2.4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67959-2021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44525</v>
      </c>
      <c r="E25" s="1" t="n">
        <v>46326</v>
      </c>
      <c r="F25" t="inlineStr">
        <is>
          <t>VÄSTRA GÖTALANDS LÄN</t>
        </is>
      </c>
      <c r="G25" t="inlineStr">
        <is>
          <t>FÄRGELANDA</t>
        </is>
      </c>
      <c r="I25" t="n">
        <v>2.1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68284-2021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44526</v>
      </c>
      <c r="E26" s="1" t="n">
        <v>46326</v>
      </c>
      <c r="F26" t="inlineStr">
        <is>
          <t>VÄSTRA GÖTALANDS LÄN</t>
        </is>
      </c>
      <c r="G26" t="inlineStr">
        <is>
          <t>FÄRGELANDA</t>
        </is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16267-2022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44670</v>
      </c>
      <c r="E27" s="1" t="n">
        <v>46326</v>
      </c>
      <c r="F27" t="inlineStr">
        <is>
          <t>VÄSTRA GÖTALANDS LÄN</t>
        </is>
      </c>
      <c r="G27" t="inlineStr">
        <is>
          <t>FÄRGELANDA</t>
        </is>
      </c>
      <c r="H27" t="inlineStr">
        <is>
          <t>Kommuner</t>
        </is>
      </c>
      <c r="I27" t="n">
        <v>0.6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15175-2022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44658</v>
      </c>
      <c r="E28" s="1" t="n">
        <v>46326</v>
      </c>
      <c r="F28" t="inlineStr">
        <is>
          <t>VÄSTRA GÖTALANDS LÄN</t>
        </is>
      </c>
      <c r="G28" t="inlineStr">
        <is>
          <t>FÄRGELANDA</t>
        </is>
      </c>
      <c r="I28" t="n">
        <v>1.7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6657-2022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44602</v>
      </c>
      <c r="E29" s="1" t="n">
        <v>46326</v>
      </c>
      <c r="F29" t="inlineStr">
        <is>
          <t>VÄSTRA GÖTALANDS LÄN</t>
        </is>
      </c>
      <c r="G29" t="inlineStr">
        <is>
          <t>FÄRGELANDA</t>
        </is>
      </c>
      <c r="I29" t="n">
        <v>4.5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478-2022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44566</v>
      </c>
      <c r="E30" s="1" t="n">
        <v>46326</v>
      </c>
      <c r="F30" t="inlineStr">
        <is>
          <t>VÄSTRA GÖTALANDS LÄN</t>
        </is>
      </c>
      <c r="G30" t="inlineStr">
        <is>
          <t>FÄRGELANDA</t>
        </is>
      </c>
      <c r="I30" t="n">
        <v>0.4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18086-2022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44684</v>
      </c>
      <c r="E31" s="1" t="n">
        <v>46326</v>
      </c>
      <c r="F31" t="inlineStr">
        <is>
          <t>VÄSTRA GÖTALANDS LÄN</t>
        </is>
      </c>
      <c r="G31" t="inlineStr">
        <is>
          <t>FÄRGELANDA</t>
        </is>
      </c>
      <c r="I31" t="n">
        <v>0.5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4892-2022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44593</v>
      </c>
      <c r="E32" s="1" t="n">
        <v>46326</v>
      </c>
      <c r="F32" t="inlineStr">
        <is>
          <t>VÄSTRA GÖTALANDS LÄN</t>
        </is>
      </c>
      <c r="G32" t="inlineStr">
        <is>
          <t>FÄRGELANDA</t>
        </is>
      </c>
      <c r="H32" t="inlineStr">
        <is>
          <t>Kommuner</t>
        </is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48340-2022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44858</v>
      </c>
      <c r="E33" s="1" t="n">
        <v>46326</v>
      </c>
      <c r="F33" t="inlineStr">
        <is>
          <t>VÄSTRA GÖTALANDS LÄN</t>
        </is>
      </c>
      <c r="G33" t="inlineStr">
        <is>
          <t>FÄRGELANDA</t>
        </is>
      </c>
      <c r="I33" t="n">
        <v>1.2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73256-2021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44550</v>
      </c>
      <c r="E34" s="1" t="n">
        <v>46326</v>
      </c>
      <c r="F34" t="inlineStr">
        <is>
          <t>VÄSTRA GÖTALANDS LÄN</t>
        </is>
      </c>
      <c r="G34" t="inlineStr">
        <is>
          <t>FÄRGELANDA</t>
        </is>
      </c>
      <c r="I34" t="n">
        <v>4.2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22059-2022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44711</v>
      </c>
      <c r="E35" s="1" t="n">
        <v>46326</v>
      </c>
      <c r="F35" t="inlineStr">
        <is>
          <t>VÄSTRA GÖTALANDS LÄN</t>
        </is>
      </c>
      <c r="G35" t="inlineStr">
        <is>
          <t>FÄRGELANDA</t>
        </is>
      </c>
      <c r="I35" t="n">
        <v>5.9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16285-2022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44670</v>
      </c>
      <c r="E36" s="1" t="n">
        <v>46326</v>
      </c>
      <c r="F36" t="inlineStr">
        <is>
          <t>VÄSTRA GÖTALANDS LÄN</t>
        </is>
      </c>
      <c r="G36" t="inlineStr">
        <is>
          <t>FÄRGELANDA</t>
        </is>
      </c>
      <c r="H36" t="inlineStr">
        <is>
          <t>Kommuner</t>
        </is>
      </c>
      <c r="I36" t="n">
        <v>2.4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66405-2021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44518</v>
      </c>
      <c r="E37" s="1" t="n">
        <v>46326</v>
      </c>
      <c r="F37" t="inlineStr">
        <is>
          <t>VÄSTRA GÖTALANDS LÄN</t>
        </is>
      </c>
      <c r="G37" t="inlineStr">
        <is>
          <t>FÄRGELANDA</t>
        </is>
      </c>
      <c r="I37" t="n">
        <v>1.9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1233-2022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44572</v>
      </c>
      <c r="E38" s="1" t="n">
        <v>46326</v>
      </c>
      <c r="F38" t="inlineStr">
        <is>
          <t>VÄSTRA GÖTALANDS LÄN</t>
        </is>
      </c>
      <c r="G38" t="inlineStr">
        <is>
          <t>FÄRGELANDA</t>
        </is>
      </c>
      <c r="I38" t="n">
        <v>1.6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18459-2022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44686</v>
      </c>
      <c r="E39" s="1" t="n">
        <v>46326</v>
      </c>
      <c r="F39" t="inlineStr">
        <is>
          <t>VÄSTRA GÖTALANDS LÄN</t>
        </is>
      </c>
      <c r="G39" t="inlineStr">
        <is>
          <t>FÄRGELANDA</t>
        </is>
      </c>
      <c r="I39" t="n">
        <v>2.2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29188-2022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44750</v>
      </c>
      <c r="E40" s="1" t="n">
        <v>46326</v>
      </c>
      <c r="F40" t="inlineStr">
        <is>
          <t>VÄSTRA GÖTALANDS LÄN</t>
        </is>
      </c>
      <c r="G40" t="inlineStr">
        <is>
          <t>FÄRGELANDA</t>
        </is>
      </c>
      <c r="I40" t="n">
        <v>1.3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31879-2022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44777</v>
      </c>
      <c r="E41" s="1" t="n">
        <v>46326</v>
      </c>
      <c r="F41" t="inlineStr">
        <is>
          <t>VÄSTRA GÖTALANDS LÄN</t>
        </is>
      </c>
      <c r="G41" t="inlineStr">
        <is>
          <t>FÄRGELANDA</t>
        </is>
      </c>
      <c r="I41" t="n">
        <v>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12059-2022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44636</v>
      </c>
      <c r="E42" s="1" t="n">
        <v>46326</v>
      </c>
      <c r="F42" t="inlineStr">
        <is>
          <t>VÄSTRA GÖTALANDS LÄN</t>
        </is>
      </c>
      <c r="G42" t="inlineStr">
        <is>
          <t>FÄRGELANDA</t>
        </is>
      </c>
      <c r="I42" t="n">
        <v>1.4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63176-2023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45273</v>
      </c>
      <c r="E43" s="1" t="n">
        <v>46326</v>
      </c>
      <c r="F43" t="inlineStr">
        <is>
          <t>VÄSTRA GÖTALANDS LÄN</t>
        </is>
      </c>
      <c r="G43" t="inlineStr">
        <is>
          <t>FÄRGELANDA</t>
        </is>
      </c>
      <c r="I43" t="n">
        <v>1.9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17627-2024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45418</v>
      </c>
      <c r="E44" s="1" t="n">
        <v>46326</v>
      </c>
      <c r="F44" t="inlineStr">
        <is>
          <t>VÄSTRA GÖTALANDS LÄN</t>
        </is>
      </c>
      <c r="G44" t="inlineStr">
        <is>
          <t>FÄRGELANDA</t>
        </is>
      </c>
      <c r="H44" t="inlineStr">
        <is>
          <t>Kommuner</t>
        </is>
      </c>
      <c r="I44" t="n">
        <v>0.8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3010-2024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45315</v>
      </c>
      <c r="E45" s="1" t="n">
        <v>46326</v>
      </c>
      <c r="F45" t="inlineStr">
        <is>
          <t>VÄSTRA GÖTALANDS LÄN</t>
        </is>
      </c>
      <c r="G45" t="inlineStr">
        <is>
          <t>FÄRGELANDA</t>
        </is>
      </c>
      <c r="I45" t="n">
        <v>4.6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17974-2024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45419</v>
      </c>
      <c r="E46" s="1" t="n">
        <v>46326</v>
      </c>
      <c r="F46" t="inlineStr">
        <is>
          <t>VÄSTRA GÖTALANDS LÄN</t>
        </is>
      </c>
      <c r="G46" t="inlineStr">
        <is>
          <t>FÄRGELANDA</t>
        </is>
      </c>
      <c r="I46" t="n">
        <v>1.6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40774-2024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45558</v>
      </c>
      <c r="E47" s="1" t="n">
        <v>46326</v>
      </c>
      <c r="F47" t="inlineStr">
        <is>
          <t>VÄSTRA GÖTALANDS LÄN</t>
        </is>
      </c>
      <c r="G47" t="inlineStr">
        <is>
          <t>FÄRGELANDA</t>
        </is>
      </c>
      <c r="I47" t="n">
        <v>3.6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149-2023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44928</v>
      </c>
      <c r="E48" s="1" t="n">
        <v>46326</v>
      </c>
      <c r="F48" t="inlineStr">
        <is>
          <t>VÄSTRA GÖTALANDS LÄN</t>
        </is>
      </c>
      <c r="G48" t="inlineStr">
        <is>
          <t>FÄRGELANDA</t>
        </is>
      </c>
      <c r="I48" t="n">
        <v>3.5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24284-2023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45079</v>
      </c>
      <c r="E49" s="1" t="n">
        <v>46326</v>
      </c>
      <c r="F49" t="inlineStr">
        <is>
          <t>VÄSTRA GÖTALANDS LÄN</t>
        </is>
      </c>
      <c r="G49" t="inlineStr">
        <is>
          <t>FÄRGELANDA</t>
        </is>
      </c>
      <c r="I49" t="n">
        <v>3.8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2798-2022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44581</v>
      </c>
      <c r="E50" s="1" t="n">
        <v>46326</v>
      </c>
      <c r="F50" t="inlineStr">
        <is>
          <t>VÄSTRA GÖTALANDS LÄN</t>
        </is>
      </c>
      <c r="G50" t="inlineStr">
        <is>
          <t>FÄRGELANDA</t>
        </is>
      </c>
      <c r="I50" t="n">
        <v>1.3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21588-2022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44706</v>
      </c>
      <c r="E51" s="1" t="n">
        <v>46326</v>
      </c>
      <c r="F51" t="inlineStr">
        <is>
          <t>VÄSTRA GÖTALANDS LÄN</t>
        </is>
      </c>
      <c r="G51" t="inlineStr">
        <is>
          <t>FÄRGELANDA</t>
        </is>
      </c>
      <c r="I51" t="n">
        <v>1.1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21547-2022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44706</v>
      </c>
      <c r="E52" s="1" t="n">
        <v>46326</v>
      </c>
      <c r="F52" t="inlineStr">
        <is>
          <t>VÄSTRA GÖTALANDS LÄN</t>
        </is>
      </c>
      <c r="G52" t="inlineStr">
        <is>
          <t>FÄRGELANDA</t>
        </is>
      </c>
      <c r="I52" t="n">
        <v>3.1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26108-2023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45091</v>
      </c>
      <c r="E53" s="1" t="n">
        <v>46326</v>
      </c>
      <c r="F53" t="inlineStr">
        <is>
          <t>VÄSTRA GÖTALANDS LÄN</t>
        </is>
      </c>
      <c r="G53" t="inlineStr">
        <is>
          <t>FÄRGELANDA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57868-2022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44899</v>
      </c>
      <c r="E54" s="1" t="n">
        <v>46326</v>
      </c>
      <c r="F54" t="inlineStr">
        <is>
          <t>VÄSTRA GÖTALANDS LÄN</t>
        </is>
      </c>
      <c r="G54" t="inlineStr">
        <is>
          <t>FÄRGELANDA</t>
        </is>
      </c>
      <c r="I54" t="n">
        <v>1.6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19389-2023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45049</v>
      </c>
      <c r="E55" s="1" t="n">
        <v>46326</v>
      </c>
      <c r="F55" t="inlineStr">
        <is>
          <t>VÄSTRA GÖTALANDS LÄN</t>
        </is>
      </c>
      <c r="G55" t="inlineStr">
        <is>
          <t>FÄRGELANDA</t>
        </is>
      </c>
      <c r="I55" t="n">
        <v>2.2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12710-2024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45384</v>
      </c>
      <c r="E56" s="1" t="n">
        <v>46326</v>
      </c>
      <c r="F56" t="inlineStr">
        <is>
          <t>VÄSTRA GÖTALANDS LÄN</t>
        </is>
      </c>
      <c r="G56" t="inlineStr">
        <is>
          <t>FÄRGELANDA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6180-2022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44600</v>
      </c>
      <c r="E57" s="1" t="n">
        <v>46326</v>
      </c>
      <c r="F57" t="inlineStr">
        <is>
          <t>VÄSTRA GÖTALANDS LÄN</t>
        </is>
      </c>
      <c r="G57" t="inlineStr">
        <is>
          <t>FÄRGELANDA</t>
        </is>
      </c>
      <c r="I57" t="n">
        <v>1.9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4525-2025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45687</v>
      </c>
      <c r="E58" s="1" t="n">
        <v>46326</v>
      </c>
      <c r="F58" t="inlineStr">
        <is>
          <t>VÄSTRA GÖTALANDS LÄN</t>
        </is>
      </c>
      <c r="G58" t="inlineStr">
        <is>
          <t>FÄRGELANDA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12198-2023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44998</v>
      </c>
      <c r="E59" s="1" t="n">
        <v>46326</v>
      </c>
      <c r="F59" t="inlineStr">
        <is>
          <t>VÄSTRA GÖTALANDS LÄN</t>
        </is>
      </c>
      <c r="G59" t="inlineStr">
        <is>
          <t>FÄRGELANDA</t>
        </is>
      </c>
      <c r="I59" t="n">
        <v>1.3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56918-2023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45244</v>
      </c>
      <c r="E60" s="1" t="n">
        <v>46326</v>
      </c>
      <c r="F60" t="inlineStr">
        <is>
          <t>VÄSTRA GÖTALANDS LÄN</t>
        </is>
      </c>
      <c r="G60" t="inlineStr">
        <is>
          <t>FÄRGELANDA</t>
        </is>
      </c>
      <c r="I60" t="n">
        <v>3.3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61642-2022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44916</v>
      </c>
      <c r="E61" s="1" t="n">
        <v>46326</v>
      </c>
      <c r="F61" t="inlineStr">
        <is>
          <t>VÄSTRA GÖTALANDS LÄN</t>
        </is>
      </c>
      <c r="G61" t="inlineStr">
        <is>
          <t>FÄRGELANDA</t>
        </is>
      </c>
      <c r="I61" t="n">
        <v>9.4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14018-2025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45740</v>
      </c>
      <c r="E62" s="1" t="n">
        <v>46326</v>
      </c>
      <c r="F62" t="inlineStr">
        <is>
          <t>VÄSTRA GÖTALANDS LÄN</t>
        </is>
      </c>
      <c r="G62" t="inlineStr">
        <is>
          <t>FÄRGELANDA</t>
        </is>
      </c>
      <c r="I62" t="n">
        <v>1.3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17640-2025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45758</v>
      </c>
      <c r="E63" s="1" t="n">
        <v>46326</v>
      </c>
      <c r="F63" t="inlineStr">
        <is>
          <t>VÄSTRA GÖTALANDS LÄN</t>
        </is>
      </c>
      <c r="G63" t="inlineStr">
        <is>
          <t>FÄRGELANDA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46037-2023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45196</v>
      </c>
      <c r="E64" s="1" t="n">
        <v>46326</v>
      </c>
      <c r="F64" t="inlineStr">
        <is>
          <t>VÄSTRA GÖTALANDS LÄN</t>
        </is>
      </c>
      <c r="G64" t="inlineStr">
        <is>
          <t>FÄRGELANDA</t>
        </is>
      </c>
      <c r="I64" t="n">
        <v>3.4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22722-2023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45071</v>
      </c>
      <c r="E65" s="1" t="n">
        <v>46326</v>
      </c>
      <c r="F65" t="inlineStr">
        <is>
          <t>VÄSTRA GÖTALANDS LÄN</t>
        </is>
      </c>
      <c r="G65" t="inlineStr">
        <is>
          <t>FÄRGELANDA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45833-2022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44846</v>
      </c>
      <c r="E66" s="1" t="n">
        <v>46326</v>
      </c>
      <c r="F66" t="inlineStr">
        <is>
          <t>VÄSTRA GÖTALANDS LÄN</t>
        </is>
      </c>
      <c r="G66" t="inlineStr">
        <is>
          <t>FÄRGELANDA</t>
        </is>
      </c>
      <c r="I66" t="n">
        <v>8.300000000000001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48850-2023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45209</v>
      </c>
      <c r="E67" s="1" t="n">
        <v>46326</v>
      </c>
      <c r="F67" t="inlineStr">
        <is>
          <t>VÄSTRA GÖTALANDS LÄN</t>
        </is>
      </c>
      <c r="G67" t="inlineStr">
        <is>
          <t>FÄRGELANDA</t>
        </is>
      </c>
      <c r="I67" t="n">
        <v>7.5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5436-2022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44595</v>
      </c>
      <c r="E68" s="1" t="n">
        <v>46326</v>
      </c>
      <c r="F68" t="inlineStr">
        <is>
          <t>VÄSTRA GÖTALANDS LÄN</t>
        </is>
      </c>
      <c r="G68" t="inlineStr">
        <is>
          <t>FÄRGELANDA</t>
        </is>
      </c>
      <c r="I68" t="n">
        <v>11.3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24751-2025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45799</v>
      </c>
      <c r="E69" s="1" t="n">
        <v>46326</v>
      </c>
      <c r="F69" t="inlineStr">
        <is>
          <t>VÄSTRA GÖTALANDS LÄN</t>
        </is>
      </c>
      <c r="G69" t="inlineStr">
        <is>
          <t>FÄRGELANDA</t>
        </is>
      </c>
      <c r="I69" t="n">
        <v>3.2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25095-2025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45800</v>
      </c>
      <c r="E70" s="1" t="n">
        <v>46326</v>
      </c>
      <c r="F70" t="inlineStr">
        <is>
          <t>VÄSTRA GÖTALANDS LÄN</t>
        </is>
      </c>
      <c r="G70" t="inlineStr">
        <is>
          <t>FÄRGELANDA</t>
        </is>
      </c>
      <c r="I70" t="n">
        <v>4.9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49825-2023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45212</v>
      </c>
      <c r="E71" s="1" t="n">
        <v>46326</v>
      </c>
      <c r="F71" t="inlineStr">
        <is>
          <t>VÄSTRA GÖTALANDS LÄN</t>
        </is>
      </c>
      <c r="G71" t="inlineStr">
        <is>
          <t>FÄRGELANDA</t>
        </is>
      </c>
      <c r="I71" t="n">
        <v>4.7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26292-2025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45805</v>
      </c>
      <c r="E72" s="1" t="n">
        <v>46326</v>
      </c>
      <c r="F72" t="inlineStr">
        <is>
          <t>VÄSTRA GÖTALANDS LÄN</t>
        </is>
      </c>
      <c r="G72" t="inlineStr">
        <is>
          <t>FÄRGELANDA</t>
        </is>
      </c>
      <c r="I72" t="n">
        <v>2.2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27054-2025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45811</v>
      </c>
      <c r="E73" s="1" t="n">
        <v>46326</v>
      </c>
      <c r="F73" t="inlineStr">
        <is>
          <t>VÄSTRA GÖTALANDS LÄN</t>
        </is>
      </c>
      <c r="G73" t="inlineStr">
        <is>
          <t>FÄRGELANDA</t>
        </is>
      </c>
      <c r="I73" t="n">
        <v>1.6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50009-2024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45598</v>
      </c>
      <c r="E74" s="1" t="n">
        <v>46326</v>
      </c>
      <c r="F74" t="inlineStr">
        <is>
          <t>VÄSTRA GÖTALANDS LÄN</t>
        </is>
      </c>
      <c r="G74" t="inlineStr">
        <is>
          <t>FÄRGELANDA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3657-2024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45321</v>
      </c>
      <c r="E75" s="1" t="n">
        <v>46326</v>
      </c>
      <c r="F75" t="inlineStr">
        <is>
          <t>VÄSTRA GÖTALANDS LÄN</t>
        </is>
      </c>
      <c r="G75" t="inlineStr">
        <is>
          <t>FÄRGELANDA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4207-2024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45324</v>
      </c>
      <c r="E76" s="1" t="n">
        <v>46326</v>
      </c>
      <c r="F76" t="inlineStr">
        <is>
          <t>VÄSTRA GÖTALANDS LÄN</t>
        </is>
      </c>
      <c r="G76" t="inlineStr">
        <is>
          <t>FÄRGELANDA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27755-2025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45815</v>
      </c>
      <c r="E77" s="1" t="n">
        <v>46326</v>
      </c>
      <c r="F77" t="inlineStr">
        <is>
          <t>VÄSTRA GÖTALANDS LÄN</t>
        </is>
      </c>
      <c r="G77" t="inlineStr">
        <is>
          <t>FÄRGELANDA</t>
        </is>
      </c>
      <c r="I77" t="n">
        <v>4.5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8223-2024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45351</v>
      </c>
      <c r="E78" s="1" t="n">
        <v>46326</v>
      </c>
      <c r="F78" t="inlineStr">
        <is>
          <t>VÄSTRA GÖTALANDS LÄN</t>
        </is>
      </c>
      <c r="G78" t="inlineStr">
        <is>
          <t>FÄRGELANDA</t>
        </is>
      </c>
      <c r="I78" t="n">
        <v>2.6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8224-2024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45351</v>
      </c>
      <c r="E79" s="1" t="n">
        <v>46326</v>
      </c>
      <c r="F79" t="inlineStr">
        <is>
          <t>VÄSTRA GÖTALANDS LÄN</t>
        </is>
      </c>
      <c r="G79" t="inlineStr">
        <is>
          <t>FÄRGELANDA</t>
        </is>
      </c>
      <c r="I79" t="n">
        <v>2.2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2301-2022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44578</v>
      </c>
      <c r="E80" s="1" t="n">
        <v>46326</v>
      </c>
      <c r="F80" t="inlineStr">
        <is>
          <t>VÄSTRA GÖTALANDS LÄN</t>
        </is>
      </c>
      <c r="G80" t="inlineStr">
        <is>
          <t>FÄRGELANDA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39630-2025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45890</v>
      </c>
      <c r="E81" s="1" t="n">
        <v>46326</v>
      </c>
      <c r="F81" t="inlineStr">
        <is>
          <t>VÄSTRA GÖTALANDS LÄN</t>
        </is>
      </c>
      <c r="G81" t="inlineStr">
        <is>
          <t>FÄRGELANDA</t>
        </is>
      </c>
      <c r="I81" t="n">
        <v>4.1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8257-2023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44974</v>
      </c>
      <c r="E82" s="1" t="n">
        <v>46326</v>
      </c>
      <c r="F82" t="inlineStr">
        <is>
          <t>VÄSTRA GÖTALANDS LÄN</t>
        </is>
      </c>
      <c r="G82" t="inlineStr">
        <is>
          <t>FÄRGELANDA</t>
        </is>
      </c>
      <c r="I82" t="n">
        <v>2.6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61698-2021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44501</v>
      </c>
      <c r="E83" s="1" t="n">
        <v>46326</v>
      </c>
      <c r="F83" t="inlineStr">
        <is>
          <t>VÄSTRA GÖTALANDS LÄN</t>
        </is>
      </c>
      <c r="G83" t="inlineStr">
        <is>
          <t>FÄRGELANDA</t>
        </is>
      </c>
      <c r="I83" t="n">
        <v>4.5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40420-2025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45895</v>
      </c>
      <c r="E84" s="1" t="n">
        <v>46326</v>
      </c>
      <c r="F84" t="inlineStr">
        <is>
          <t>VÄSTRA GÖTALANDS LÄN</t>
        </is>
      </c>
      <c r="G84" t="inlineStr">
        <is>
          <t>FÄRGELANDA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40226-2025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45894</v>
      </c>
      <c r="E85" s="1" t="n">
        <v>46326</v>
      </c>
      <c r="F85" t="inlineStr">
        <is>
          <t>VÄSTRA GÖTALANDS LÄN</t>
        </is>
      </c>
      <c r="G85" t="inlineStr">
        <is>
          <t>FÄRGELANDA</t>
        </is>
      </c>
      <c r="I85" t="n">
        <v>5.6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2696-2026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46037</v>
      </c>
      <c r="E86" s="1" t="n">
        <v>46326</v>
      </c>
      <c r="F86" t="inlineStr">
        <is>
          <t>VÄSTRA GÖTALANDS LÄN</t>
        </is>
      </c>
      <c r="G86" t="inlineStr">
        <is>
          <t>FÄRGELANDA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30737-2025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45831</v>
      </c>
      <c r="E87" s="1" t="n">
        <v>46326</v>
      </c>
      <c r="F87" t="inlineStr">
        <is>
          <t>VÄSTRA GÖTALANDS LÄN</t>
        </is>
      </c>
      <c r="G87" t="inlineStr">
        <is>
          <t>FÄRGELANDA</t>
        </is>
      </c>
      <c r="I87" t="n">
        <v>7.6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72612-2021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44546</v>
      </c>
      <c r="E88" s="1" t="n">
        <v>46326</v>
      </c>
      <c r="F88" t="inlineStr">
        <is>
          <t>VÄSTRA GÖTALANDS LÄN</t>
        </is>
      </c>
      <c r="G88" t="inlineStr">
        <is>
          <t>FÄRGELANDA</t>
        </is>
      </c>
      <c r="I88" t="n">
        <v>2.1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42329-2025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45904</v>
      </c>
      <c r="E89" s="1" t="n">
        <v>46326</v>
      </c>
      <c r="F89" t="inlineStr">
        <is>
          <t>VÄSTRA GÖTALANDS LÄN</t>
        </is>
      </c>
      <c r="G89" t="inlineStr">
        <is>
          <t>FÄRGELANDA</t>
        </is>
      </c>
      <c r="I89" t="n">
        <v>5.7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30994-2025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45832</v>
      </c>
      <c r="E90" s="1" t="n">
        <v>46326</v>
      </c>
      <c r="F90" t="inlineStr">
        <is>
          <t>VÄSTRA GÖTALANDS LÄN</t>
        </is>
      </c>
      <c r="G90" t="inlineStr">
        <is>
          <t>FÄRGELANDA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42402-2023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45180</v>
      </c>
      <c r="E91" s="1" t="n">
        <v>46326</v>
      </c>
      <c r="F91" t="inlineStr">
        <is>
          <t>VÄSTRA GÖTALANDS LÄN</t>
        </is>
      </c>
      <c r="G91" t="inlineStr">
        <is>
          <t>FÄRGELANDA</t>
        </is>
      </c>
      <c r="I91" t="n">
        <v>1.6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31996-2025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45835</v>
      </c>
      <c r="E92" s="1" t="n">
        <v>46326</v>
      </c>
      <c r="F92" t="inlineStr">
        <is>
          <t>VÄSTRA GÖTALANDS LÄN</t>
        </is>
      </c>
      <c r="G92" t="inlineStr">
        <is>
          <t>FÄRGELANDA</t>
        </is>
      </c>
      <c r="I92" t="n">
        <v>2.7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31984-2025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45835</v>
      </c>
      <c r="E93" s="1" t="n">
        <v>46326</v>
      </c>
      <c r="F93" t="inlineStr">
        <is>
          <t>VÄSTRA GÖTALANDS LÄN</t>
        </is>
      </c>
      <c r="G93" t="inlineStr">
        <is>
          <t>FÄRGELANDA</t>
        </is>
      </c>
      <c r="I93" t="n">
        <v>4.2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32013-2025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45835</v>
      </c>
      <c r="E94" s="1" t="n">
        <v>46326</v>
      </c>
      <c r="F94" t="inlineStr">
        <is>
          <t>VÄSTRA GÖTALANDS LÄN</t>
        </is>
      </c>
      <c r="G94" t="inlineStr">
        <is>
          <t>FÄRGELANDA</t>
        </is>
      </c>
      <c r="I94" t="n">
        <v>5.2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60766-2023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45260</v>
      </c>
      <c r="E95" s="1" t="n">
        <v>46326</v>
      </c>
      <c r="F95" t="inlineStr">
        <is>
          <t>VÄSTRA GÖTALANDS LÄN</t>
        </is>
      </c>
      <c r="G95" t="inlineStr">
        <is>
          <t>FÄRGELANDA</t>
        </is>
      </c>
      <c r="I95" t="n">
        <v>2.7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64390-2023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45280</v>
      </c>
      <c r="E96" s="1" t="n">
        <v>46326</v>
      </c>
      <c r="F96" t="inlineStr">
        <is>
          <t>VÄSTRA GÖTALANDS LÄN</t>
        </is>
      </c>
      <c r="G96" t="inlineStr">
        <is>
          <t>FÄRGELANDA</t>
        </is>
      </c>
      <c r="I96" t="n">
        <v>7.4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1997-2023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44939</v>
      </c>
      <c r="E97" s="1" t="n">
        <v>46326</v>
      </c>
      <c r="F97" t="inlineStr">
        <is>
          <t>VÄSTRA GÖTALANDS LÄN</t>
        </is>
      </c>
      <c r="G97" t="inlineStr">
        <is>
          <t>FÄRGELANDA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44552-2025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45917</v>
      </c>
      <c r="E98" s="1" t="n">
        <v>46326</v>
      </c>
      <c r="F98" t="inlineStr">
        <is>
          <t>VÄSTRA GÖTALANDS LÄN</t>
        </is>
      </c>
      <c r="G98" t="inlineStr">
        <is>
          <t>FÄRGELANDA</t>
        </is>
      </c>
      <c r="I98" t="n">
        <v>1.7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66955-2021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44522</v>
      </c>
      <c r="E99" s="1" t="n">
        <v>46326</v>
      </c>
      <c r="F99" t="inlineStr">
        <is>
          <t>VÄSTRA GÖTALANDS LÄN</t>
        </is>
      </c>
      <c r="G99" t="inlineStr">
        <is>
          <t>FÄRGELANDA</t>
        </is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44990-2025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45918</v>
      </c>
      <c r="E100" s="1" t="n">
        <v>46326</v>
      </c>
      <c r="F100" t="inlineStr">
        <is>
          <t>VÄSTRA GÖTALANDS LÄN</t>
        </is>
      </c>
      <c r="G100" t="inlineStr">
        <is>
          <t>FÄRGELANDA</t>
        </is>
      </c>
      <c r="I100" t="n">
        <v>5.3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34379-2025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45846</v>
      </c>
      <c r="E101" s="1" t="n">
        <v>46326</v>
      </c>
      <c r="F101" t="inlineStr">
        <is>
          <t>VÄSTRA GÖTALANDS LÄN</t>
        </is>
      </c>
      <c r="G101" t="inlineStr">
        <is>
          <t>FÄRGELANDA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15043-2023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45015</v>
      </c>
      <c r="E102" s="1" t="n">
        <v>46326</v>
      </c>
      <c r="F102" t="inlineStr">
        <is>
          <t>VÄSTRA GÖTALANDS LÄN</t>
        </is>
      </c>
      <c r="G102" t="inlineStr">
        <is>
          <t>FÄRGELANDA</t>
        </is>
      </c>
      <c r="I102" t="n">
        <v>5.7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1030-2022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44571</v>
      </c>
      <c r="E103" s="1" t="n">
        <v>46326</v>
      </c>
      <c r="F103" t="inlineStr">
        <is>
          <t>VÄSTRA GÖTALANDS LÄN</t>
        </is>
      </c>
      <c r="G103" t="inlineStr">
        <is>
          <t>FÄRGELANDA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19332-2023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45049</v>
      </c>
      <c r="E104" s="1" t="n">
        <v>46326</v>
      </c>
      <c r="F104" t="inlineStr">
        <is>
          <t>VÄSTRA GÖTALANDS LÄN</t>
        </is>
      </c>
      <c r="G104" t="inlineStr">
        <is>
          <t>FÄRGELANDA</t>
        </is>
      </c>
      <c r="I104" t="n">
        <v>4.7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6210-2026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46055</v>
      </c>
      <c r="E105" s="1" t="n">
        <v>46326</v>
      </c>
      <c r="F105" t="inlineStr">
        <is>
          <t>VÄSTRA GÖTALANDS LÄN</t>
        </is>
      </c>
      <c r="G105" t="inlineStr">
        <is>
          <t>FÄRGELANDA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5962-2026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46052</v>
      </c>
      <c r="E106" s="1" t="n">
        <v>46326</v>
      </c>
      <c r="F106" t="inlineStr">
        <is>
          <t>VÄSTRA GÖTALANDS LÄN</t>
        </is>
      </c>
      <c r="G106" t="inlineStr">
        <is>
          <t>FÄRGELANDA</t>
        </is>
      </c>
      <c r="I106" t="n">
        <v>4.8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53584-2024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45614</v>
      </c>
      <c r="E107" s="1" t="n">
        <v>46326</v>
      </c>
      <c r="F107" t="inlineStr">
        <is>
          <t>VÄSTRA GÖTALANDS LÄN</t>
        </is>
      </c>
      <c r="G107" t="inlineStr">
        <is>
          <t>FÄRGELANDA</t>
        </is>
      </c>
      <c r="I107" t="n">
        <v>2.7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48087-2025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45932</v>
      </c>
      <c r="E108" s="1" t="n">
        <v>46326</v>
      </c>
      <c r="F108" t="inlineStr">
        <is>
          <t>VÄSTRA GÖTALANDS LÄN</t>
        </is>
      </c>
      <c r="G108" t="inlineStr">
        <is>
          <t>FÄRGELANDA</t>
        </is>
      </c>
      <c r="I108" t="n">
        <v>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57446-2022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44896</v>
      </c>
      <c r="E109" s="1" t="n">
        <v>46326</v>
      </c>
      <c r="F109" t="inlineStr">
        <is>
          <t>VÄSTRA GÖTALANDS LÄN</t>
        </is>
      </c>
      <c r="G109" t="inlineStr">
        <is>
          <t>FÄRGELANDA</t>
        </is>
      </c>
      <c r="I109" t="n">
        <v>2.1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17610-2023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45036</v>
      </c>
      <c r="E110" s="1" t="n">
        <v>46326</v>
      </c>
      <c r="F110" t="inlineStr">
        <is>
          <t>VÄSTRA GÖTALANDS LÄN</t>
        </is>
      </c>
      <c r="G110" t="inlineStr">
        <is>
          <t>FÄRGELANDA</t>
        </is>
      </c>
      <c r="I110" t="n">
        <v>3.5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37067-2025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45875</v>
      </c>
      <c r="E111" s="1" t="n">
        <v>46326</v>
      </c>
      <c r="F111" t="inlineStr">
        <is>
          <t>VÄSTRA GÖTALANDS LÄN</t>
        </is>
      </c>
      <c r="G111" t="inlineStr">
        <is>
          <t>FÄRGELANDA</t>
        </is>
      </c>
      <c r="I111" t="n">
        <v>4.9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49069-2025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45937</v>
      </c>
      <c r="E112" s="1" t="n">
        <v>46326</v>
      </c>
      <c r="F112" t="inlineStr">
        <is>
          <t>VÄSTRA GÖTALANDS LÄN</t>
        </is>
      </c>
      <c r="G112" t="inlineStr">
        <is>
          <t>FÄRGELANDA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17486-2025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45757</v>
      </c>
      <c r="E113" s="1" t="n">
        <v>46326</v>
      </c>
      <c r="F113" t="inlineStr">
        <is>
          <t>VÄSTRA GÖTALANDS LÄN</t>
        </is>
      </c>
      <c r="G113" t="inlineStr">
        <is>
          <t>FÄRGELANDA</t>
        </is>
      </c>
      <c r="I113" t="n">
        <v>4.2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56616-2022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44893</v>
      </c>
      <c r="E114" s="1" t="n">
        <v>46326</v>
      </c>
      <c r="F114" t="inlineStr">
        <is>
          <t>VÄSTRA GÖTALANDS LÄN</t>
        </is>
      </c>
      <c r="G114" t="inlineStr">
        <is>
          <t>FÄRGELANDA</t>
        </is>
      </c>
      <c r="I114" t="n">
        <v>2.2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1021-2023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44935</v>
      </c>
      <c r="E115" s="1" t="n">
        <v>46326</v>
      </c>
      <c r="F115" t="inlineStr">
        <is>
          <t>VÄSTRA GÖTALANDS LÄN</t>
        </is>
      </c>
      <c r="G115" t="inlineStr">
        <is>
          <t>FÄRGELANDA</t>
        </is>
      </c>
      <c r="I115" t="n">
        <v>5.3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46534-2024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45582</v>
      </c>
      <c r="E116" s="1" t="n">
        <v>46326</v>
      </c>
      <c r="F116" t="inlineStr">
        <is>
          <t>VÄSTRA GÖTALANDS LÄN</t>
        </is>
      </c>
      <c r="G116" t="inlineStr">
        <is>
          <t>FÄRGELANDA</t>
        </is>
      </c>
      <c r="I116" t="n">
        <v>4.2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38366-2025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45883</v>
      </c>
      <c r="E117" s="1" t="n">
        <v>46326</v>
      </c>
      <c r="F117" t="inlineStr">
        <is>
          <t>VÄSTRA GÖTALANDS LÄN</t>
        </is>
      </c>
      <c r="G117" t="inlineStr">
        <is>
          <t>FÄRGELANDA</t>
        </is>
      </c>
      <c r="I117" t="n">
        <v>7.2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64427-2023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45280</v>
      </c>
      <c r="E118" s="1" t="n">
        <v>46326</v>
      </c>
      <c r="F118" t="inlineStr">
        <is>
          <t>VÄSTRA GÖTALANDS LÄN</t>
        </is>
      </c>
      <c r="G118" t="inlineStr">
        <is>
          <t>FÄRGELANDA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59441-2024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45638</v>
      </c>
      <c r="E119" s="1" t="n">
        <v>46326</v>
      </c>
      <c r="F119" t="inlineStr">
        <is>
          <t>VÄSTRA GÖTALANDS LÄN</t>
        </is>
      </c>
      <c r="G119" t="inlineStr">
        <is>
          <t>FÄRGELANDA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38363-2025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45883</v>
      </c>
      <c r="E120" s="1" t="n">
        <v>46326</v>
      </c>
      <c r="F120" t="inlineStr">
        <is>
          <t>VÄSTRA GÖTALANDS LÄN</t>
        </is>
      </c>
      <c r="G120" t="inlineStr">
        <is>
          <t>FÄRGELANDA</t>
        </is>
      </c>
      <c r="I120" t="n">
        <v>7.6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50876-2025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45946</v>
      </c>
      <c r="E121" s="1" t="n">
        <v>46326</v>
      </c>
      <c r="F121" t="inlineStr">
        <is>
          <t>VÄSTRA GÖTALANDS LÄN</t>
        </is>
      </c>
      <c r="G121" t="inlineStr">
        <is>
          <t>FÄRGELANDA</t>
        </is>
      </c>
      <c r="I121" t="n">
        <v>2.1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50883-2025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45946</v>
      </c>
      <c r="E122" s="1" t="n">
        <v>46326</v>
      </c>
      <c r="F122" t="inlineStr">
        <is>
          <t>VÄSTRA GÖTALANDS LÄN</t>
        </is>
      </c>
      <c r="G122" t="inlineStr">
        <is>
          <t>FÄRGELANDA</t>
        </is>
      </c>
      <c r="I122" t="n">
        <v>1.6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7230-2026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46058</v>
      </c>
      <c r="E123" s="1" t="n">
        <v>46326</v>
      </c>
      <c r="F123" t="inlineStr">
        <is>
          <t>VÄSTRA GÖTALANDS LÄN</t>
        </is>
      </c>
      <c r="G123" t="inlineStr">
        <is>
          <t>FÄRGELANDA</t>
        </is>
      </c>
      <c r="H123" t="inlineStr">
        <is>
          <t>Kommuner</t>
        </is>
      </c>
      <c r="I123" t="n">
        <v>2.1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51271-2025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45949</v>
      </c>
      <c r="E124" s="1" t="n">
        <v>46326</v>
      </c>
      <c r="F124" t="inlineStr">
        <is>
          <t>VÄSTRA GÖTALANDS LÄN</t>
        </is>
      </c>
      <c r="G124" t="inlineStr">
        <is>
          <t>FÄRGELANDA</t>
        </is>
      </c>
      <c r="I124" t="n">
        <v>10.1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51476-2025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45950</v>
      </c>
      <c r="E125" s="1" t="n">
        <v>46326</v>
      </c>
      <c r="F125" t="inlineStr">
        <is>
          <t>VÄSTRA GÖTALANDS LÄN</t>
        </is>
      </c>
      <c r="G125" t="inlineStr">
        <is>
          <t>FÄRGELANDA</t>
        </is>
      </c>
      <c r="I125" t="n">
        <v>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51483-2025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45950</v>
      </c>
      <c r="E126" s="1" t="n">
        <v>46326</v>
      </c>
      <c r="F126" t="inlineStr">
        <is>
          <t>VÄSTRA GÖTALANDS LÄN</t>
        </is>
      </c>
      <c r="G126" t="inlineStr">
        <is>
          <t>FÄRGELANDA</t>
        </is>
      </c>
      <c r="I126" t="n">
        <v>2.3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7909-2026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46063</v>
      </c>
      <c r="E127" s="1" t="n">
        <v>46326</v>
      </c>
      <c r="F127" t="inlineStr">
        <is>
          <t>VÄSTRA GÖTALANDS LÄN</t>
        </is>
      </c>
      <c r="G127" t="inlineStr">
        <is>
          <t>FÄRGELANDA</t>
        </is>
      </c>
      <c r="I127" t="n">
        <v>7.3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68285-2021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44526</v>
      </c>
      <c r="E128" s="1" t="n">
        <v>46326</v>
      </c>
      <c r="F128" t="inlineStr">
        <is>
          <t>VÄSTRA GÖTALANDS LÄN</t>
        </is>
      </c>
      <c r="G128" t="inlineStr">
        <is>
          <t>FÄRGELANDA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59022-2023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45252</v>
      </c>
      <c r="E129" s="1" t="n">
        <v>46326</v>
      </c>
      <c r="F129" t="inlineStr">
        <is>
          <t>VÄSTRA GÖTALANDS LÄN</t>
        </is>
      </c>
      <c r="G129" t="inlineStr">
        <is>
          <t>FÄRGELANDA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59025-2023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45252</v>
      </c>
      <c r="E130" s="1" t="n">
        <v>46326</v>
      </c>
      <c r="F130" t="inlineStr">
        <is>
          <t>VÄSTRA GÖTALANDS LÄN</t>
        </is>
      </c>
      <c r="G130" t="inlineStr">
        <is>
          <t>FÄRGELANDA</t>
        </is>
      </c>
      <c r="I130" t="n">
        <v>44.5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52725-2025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45957</v>
      </c>
      <c r="E131" s="1" t="n">
        <v>46326</v>
      </c>
      <c r="F131" t="inlineStr">
        <is>
          <t>VÄSTRA GÖTALANDS LÄN</t>
        </is>
      </c>
      <c r="G131" t="inlineStr">
        <is>
          <t>FÄRGELANDA</t>
        </is>
      </c>
      <c r="I131" t="n">
        <v>2.3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17487-2025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45757</v>
      </c>
      <c r="E132" s="1" t="n">
        <v>46326</v>
      </c>
      <c r="F132" t="inlineStr">
        <is>
          <t>VÄSTRA GÖTALANDS LÄN</t>
        </is>
      </c>
      <c r="G132" t="inlineStr">
        <is>
          <t>FÄRGELANDA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34241-2024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45524</v>
      </c>
      <c r="E133" s="1" t="n">
        <v>46326</v>
      </c>
      <c r="F133" t="inlineStr">
        <is>
          <t>VÄSTRA GÖTALANDS LÄN</t>
        </is>
      </c>
      <c r="G133" t="inlineStr">
        <is>
          <t>FÄRGELANDA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8675-2026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46066</v>
      </c>
      <c r="E134" s="1" t="n">
        <v>46326</v>
      </c>
      <c r="F134" t="inlineStr">
        <is>
          <t>VÄSTRA GÖTALANDS LÄN</t>
        </is>
      </c>
      <c r="G134" t="inlineStr">
        <is>
          <t>FÄRGELANDA</t>
        </is>
      </c>
      <c r="H134" t="inlineStr">
        <is>
          <t>Kommuner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8920-2026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46069</v>
      </c>
      <c r="E135" s="1" t="n">
        <v>46326</v>
      </c>
      <c r="F135" t="inlineStr">
        <is>
          <t>VÄSTRA GÖTALANDS LÄN</t>
        </is>
      </c>
      <c r="G135" t="inlineStr">
        <is>
          <t>FÄRGELANDA</t>
        </is>
      </c>
      <c r="H135" t="inlineStr">
        <is>
          <t>Kommuner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53276-2025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45958</v>
      </c>
      <c r="E136" s="1" t="n">
        <v>46326</v>
      </c>
      <c r="F136" t="inlineStr">
        <is>
          <t>VÄSTRA GÖTALANDS LÄN</t>
        </is>
      </c>
      <c r="G136" t="inlineStr">
        <is>
          <t>FÄRGELANDA</t>
        </is>
      </c>
      <c r="I136" t="n">
        <v>4.7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9090-2026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46069</v>
      </c>
      <c r="E137" s="1" t="n">
        <v>46326</v>
      </c>
      <c r="F137" t="inlineStr">
        <is>
          <t>VÄSTRA GÖTALANDS LÄN</t>
        </is>
      </c>
      <c r="G137" t="inlineStr">
        <is>
          <t>FÄRGELANDA</t>
        </is>
      </c>
      <c r="I137" t="n">
        <v>3.5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9451-2026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46071</v>
      </c>
      <c r="E138" s="1" t="n">
        <v>46326</v>
      </c>
      <c r="F138" t="inlineStr">
        <is>
          <t>VÄSTRA GÖTALANDS LÄN</t>
        </is>
      </c>
      <c r="G138" t="inlineStr">
        <is>
          <t>FÄRGELANDA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27841-2023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45098</v>
      </c>
      <c r="E139" s="1" t="n">
        <v>46326</v>
      </c>
      <c r="F139" t="inlineStr">
        <is>
          <t>VÄSTRA GÖTALANDS LÄN</t>
        </is>
      </c>
      <c r="G139" t="inlineStr">
        <is>
          <t>FÄRGELANDA</t>
        </is>
      </c>
      <c r="I139" t="n">
        <v>2.7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9450-2026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46071</v>
      </c>
      <c r="E140" s="1" t="n">
        <v>46326</v>
      </c>
      <c r="F140" t="inlineStr">
        <is>
          <t>VÄSTRA GÖTALANDS LÄN</t>
        </is>
      </c>
      <c r="G140" t="inlineStr">
        <is>
          <t>FÄRGELANDA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30406-2024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45491</v>
      </c>
      <c r="E141" s="1" t="n">
        <v>46326</v>
      </c>
      <c r="F141" t="inlineStr">
        <is>
          <t>VÄSTRA GÖTALANDS LÄN</t>
        </is>
      </c>
      <c r="G141" t="inlineStr">
        <is>
          <t>FÄRGELANDA</t>
        </is>
      </c>
      <c r="I141" t="n">
        <v>5.5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54405-2025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45965</v>
      </c>
      <c r="E142" s="1" t="n">
        <v>46326</v>
      </c>
      <c r="F142" t="inlineStr">
        <is>
          <t>VÄSTRA GÖTALANDS LÄN</t>
        </is>
      </c>
      <c r="G142" t="inlineStr">
        <is>
          <t>FÄRGELANDA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9736-2024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45362</v>
      </c>
      <c r="E143" s="1" t="n">
        <v>46326</v>
      </c>
      <c r="F143" t="inlineStr">
        <is>
          <t>VÄSTRA GÖTALANDS LÄN</t>
        </is>
      </c>
      <c r="G143" t="inlineStr">
        <is>
          <t>FÄRGELANDA</t>
        </is>
      </c>
      <c r="I143" t="n">
        <v>0.3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54410-2025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45965</v>
      </c>
      <c r="E144" s="1" t="n">
        <v>46326</v>
      </c>
      <c r="F144" t="inlineStr">
        <is>
          <t>VÄSTRA GÖTALANDS LÄN</t>
        </is>
      </c>
      <c r="G144" t="inlineStr">
        <is>
          <t>FÄRGELANDA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54401-2025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45965</v>
      </c>
      <c r="E145" s="1" t="n">
        <v>46326</v>
      </c>
      <c r="F145" t="inlineStr">
        <is>
          <t>VÄSTRA GÖTALANDS LÄN</t>
        </is>
      </c>
      <c r="G145" t="inlineStr">
        <is>
          <t>FÄRGELANDA</t>
        </is>
      </c>
      <c r="I145" t="n">
        <v>2.2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10451-2026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46076</v>
      </c>
      <c r="E146" s="1" t="n">
        <v>46326</v>
      </c>
      <c r="F146" t="inlineStr">
        <is>
          <t>VÄSTRA GÖTALANDS LÄN</t>
        </is>
      </c>
      <c r="G146" t="inlineStr">
        <is>
          <t>FÄRGELANDA</t>
        </is>
      </c>
      <c r="H146" t="inlineStr">
        <is>
          <t>Övriga Aktiebolag</t>
        </is>
      </c>
      <c r="I146" t="n">
        <v>15.3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55299-2025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45969</v>
      </c>
      <c r="E147" s="1" t="n">
        <v>46326</v>
      </c>
      <c r="F147" t="inlineStr">
        <is>
          <t>VÄSTRA GÖTALANDS LÄN</t>
        </is>
      </c>
      <c r="G147" t="inlineStr">
        <is>
          <t>FÄRGELANDA</t>
        </is>
      </c>
      <c r="I147" t="n">
        <v>1.9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55300-2025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45969</v>
      </c>
      <c r="E148" s="1" t="n">
        <v>46326</v>
      </c>
      <c r="F148" t="inlineStr">
        <is>
          <t>VÄSTRA GÖTALANDS LÄN</t>
        </is>
      </c>
      <c r="G148" t="inlineStr">
        <is>
          <t>FÄRGELANDA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11221-2026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46080</v>
      </c>
      <c r="E149" s="1" t="n">
        <v>46326</v>
      </c>
      <c r="F149" t="inlineStr">
        <is>
          <t>VÄSTRA GÖTALANDS LÄN</t>
        </is>
      </c>
      <c r="G149" t="inlineStr">
        <is>
          <t>FÄRGELANDA</t>
        </is>
      </c>
      <c r="I149" t="n">
        <v>9.5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11223-2026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46080</v>
      </c>
      <c r="E150" s="1" t="n">
        <v>46326</v>
      </c>
      <c r="F150" t="inlineStr">
        <is>
          <t>VÄSTRA GÖTALANDS LÄN</t>
        </is>
      </c>
      <c r="G150" t="inlineStr">
        <is>
          <t>FÄRGELANDA</t>
        </is>
      </c>
      <c r="I150" t="n">
        <v>5.5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62146-2023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45267</v>
      </c>
      <c r="E151" s="1" t="n">
        <v>46326</v>
      </c>
      <c r="F151" t="inlineStr">
        <is>
          <t>VÄSTRA GÖTALANDS LÄN</t>
        </is>
      </c>
      <c r="G151" t="inlineStr">
        <is>
          <t>FÄRGELANDA</t>
        </is>
      </c>
      <c r="I151" t="n">
        <v>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36606-2023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45153</v>
      </c>
      <c r="E152" s="1" t="n">
        <v>46326</v>
      </c>
      <c r="F152" t="inlineStr">
        <is>
          <t>VÄSTRA GÖTALANDS LÄN</t>
        </is>
      </c>
      <c r="G152" t="inlineStr">
        <is>
          <t>FÄRGELANDA</t>
        </is>
      </c>
      <c r="I152" t="n">
        <v>13.5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56715-2025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45975</v>
      </c>
      <c r="E153" s="1" t="n">
        <v>46326</v>
      </c>
      <c r="F153" t="inlineStr">
        <is>
          <t>VÄSTRA GÖTALANDS LÄN</t>
        </is>
      </c>
      <c r="G153" t="inlineStr">
        <is>
          <t>FÄRGELANDA</t>
        </is>
      </c>
      <c r="H153" t="inlineStr">
        <is>
          <t>Övriga Aktiebolag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56716-2025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45975</v>
      </c>
      <c r="E154" s="1" t="n">
        <v>46326</v>
      </c>
      <c r="F154" t="inlineStr">
        <is>
          <t>VÄSTRA GÖTALANDS LÄN</t>
        </is>
      </c>
      <c r="G154" t="inlineStr">
        <is>
          <t>FÄRGELANDA</t>
        </is>
      </c>
      <c r="H154" t="inlineStr">
        <is>
          <t>Övriga Aktiebolag</t>
        </is>
      </c>
      <c r="I154" t="n">
        <v>1.8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3882-2025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45684</v>
      </c>
      <c r="E155" s="1" t="n">
        <v>46326</v>
      </c>
      <c r="F155" t="inlineStr">
        <is>
          <t>VÄSTRA GÖTALANDS LÄN</t>
        </is>
      </c>
      <c r="G155" t="inlineStr">
        <is>
          <t>FÄRGELANDA</t>
        </is>
      </c>
      <c r="H155" t="inlineStr">
        <is>
          <t>Kommuner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1944-2024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45308</v>
      </c>
      <c r="E156" s="1" t="n">
        <v>46326</v>
      </c>
      <c r="F156" t="inlineStr">
        <is>
          <t>VÄSTRA GÖTALANDS LÄN</t>
        </is>
      </c>
      <c r="G156" t="inlineStr">
        <is>
          <t>FÄRGELANDA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35173-2024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45530</v>
      </c>
      <c r="E157" s="1" t="n">
        <v>46326</v>
      </c>
      <c r="F157" t="inlineStr">
        <is>
          <t>VÄSTRA GÖTALANDS LÄN</t>
        </is>
      </c>
      <c r="G157" t="inlineStr">
        <is>
          <t>FÄRGELANDA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18178-2025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45761</v>
      </c>
      <c r="E158" s="1" t="n">
        <v>46326</v>
      </c>
      <c r="F158" t="inlineStr">
        <is>
          <t>VÄSTRA GÖTALANDS LÄN</t>
        </is>
      </c>
      <c r="G158" t="inlineStr">
        <is>
          <t>FÄRGELANDA</t>
        </is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61915-2022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44917</v>
      </c>
      <c r="E159" s="1" t="n">
        <v>46326</v>
      </c>
      <c r="F159" t="inlineStr">
        <is>
          <t>VÄSTRA GÖTALANDS LÄN</t>
        </is>
      </c>
      <c r="G159" t="inlineStr">
        <is>
          <t>FÄRGELANDA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58869-2025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45987</v>
      </c>
      <c r="E160" s="1" t="n">
        <v>46326</v>
      </c>
      <c r="F160" t="inlineStr">
        <is>
          <t>VÄSTRA GÖTALANDS LÄN</t>
        </is>
      </c>
      <c r="G160" t="inlineStr">
        <is>
          <t>FÄRGELANDA</t>
        </is>
      </c>
      <c r="I160" t="n">
        <v>3.7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59318-2025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45989</v>
      </c>
      <c r="E161" s="1" t="n">
        <v>46326</v>
      </c>
      <c r="F161" t="inlineStr">
        <is>
          <t>VÄSTRA GÖTALANDS LÄN</t>
        </is>
      </c>
      <c r="G161" t="inlineStr">
        <is>
          <t>FÄRGELANDA</t>
        </is>
      </c>
      <c r="I161" t="n">
        <v>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12190-2026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46086</v>
      </c>
      <c r="E162" s="1" t="n">
        <v>46326</v>
      </c>
      <c r="F162" t="inlineStr">
        <is>
          <t>VÄSTRA GÖTALANDS LÄN</t>
        </is>
      </c>
      <c r="G162" t="inlineStr">
        <is>
          <t>FÄRGELANDA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43684-2022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44837</v>
      </c>
      <c r="E163" s="1" t="n">
        <v>46326</v>
      </c>
      <c r="F163" t="inlineStr">
        <is>
          <t>VÄSTRA GÖTALANDS LÄN</t>
        </is>
      </c>
      <c r="G163" t="inlineStr">
        <is>
          <t>FÄRGELANDA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14015-2025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45740</v>
      </c>
      <c r="E164" s="1" t="n">
        <v>46326</v>
      </c>
      <c r="F164" t="inlineStr">
        <is>
          <t>VÄSTRA GÖTALANDS LÄN</t>
        </is>
      </c>
      <c r="G164" t="inlineStr">
        <is>
          <t>FÄRGELANDA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12349-2026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46087</v>
      </c>
      <c r="E165" s="1" t="n">
        <v>46326</v>
      </c>
      <c r="F165" t="inlineStr">
        <is>
          <t>VÄSTRA GÖTALANDS LÄN</t>
        </is>
      </c>
      <c r="G165" t="inlineStr">
        <is>
          <t>FÄRGELANDA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53196-2025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45958</v>
      </c>
      <c r="E166" s="1" t="n">
        <v>46326</v>
      </c>
      <c r="F166" t="inlineStr">
        <is>
          <t>VÄSTRA GÖTALANDS LÄN</t>
        </is>
      </c>
      <c r="G166" t="inlineStr">
        <is>
          <t>FÄRGELANDA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23222-2024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45452</v>
      </c>
      <c r="E167" s="1" t="n">
        <v>46326</v>
      </c>
      <c r="F167" t="inlineStr">
        <is>
          <t>VÄSTRA GÖTALANDS LÄN</t>
        </is>
      </c>
      <c r="G167" t="inlineStr">
        <is>
          <t>FÄRGELANDA</t>
        </is>
      </c>
      <c r="I167" t="n">
        <v>6.8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60475-2024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45643</v>
      </c>
      <c r="E168" s="1" t="n">
        <v>46326</v>
      </c>
      <c r="F168" t="inlineStr">
        <is>
          <t>VÄSTRA GÖTALANDS LÄN</t>
        </is>
      </c>
      <c r="G168" t="inlineStr">
        <is>
          <t>FÄRGELANDA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12507-2025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45730</v>
      </c>
      <c r="E169" s="1" t="n">
        <v>46326</v>
      </c>
      <c r="F169" t="inlineStr">
        <is>
          <t>VÄSTRA GÖTALANDS LÄN</t>
        </is>
      </c>
      <c r="G169" t="inlineStr">
        <is>
          <t>FÄRGELANDA</t>
        </is>
      </c>
      <c r="I169" t="n">
        <v>1.8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12824-2026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46091</v>
      </c>
      <c r="E170" s="1" t="n">
        <v>46326</v>
      </c>
      <c r="F170" t="inlineStr">
        <is>
          <t>VÄSTRA GÖTALANDS LÄN</t>
        </is>
      </c>
      <c r="G170" t="inlineStr">
        <is>
          <t>FÄRGELANDA</t>
        </is>
      </c>
      <c r="I170" t="n">
        <v>2.3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30993-2022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44768</v>
      </c>
      <c r="E171" s="1" t="n">
        <v>46326</v>
      </c>
      <c r="F171" t="inlineStr">
        <is>
          <t>VÄSTRA GÖTALANDS LÄN</t>
        </is>
      </c>
      <c r="G171" t="inlineStr">
        <is>
          <t>FÄRGELANDA</t>
        </is>
      </c>
      <c r="I171" t="n">
        <v>4.4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58868-2025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45987</v>
      </c>
      <c r="E172" s="1" t="n">
        <v>46326</v>
      </c>
      <c r="F172" t="inlineStr">
        <is>
          <t>VÄSTRA GÖTALANDS LÄN</t>
        </is>
      </c>
      <c r="G172" t="inlineStr">
        <is>
          <t>FÄRGELANDA</t>
        </is>
      </c>
      <c r="I172" t="n">
        <v>4.2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62435-2025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46007</v>
      </c>
      <c r="E173" s="1" t="n">
        <v>46326</v>
      </c>
      <c r="F173" t="inlineStr">
        <is>
          <t>VÄSTRA GÖTALANDS LÄN</t>
        </is>
      </c>
      <c r="G173" t="inlineStr">
        <is>
          <t>FÄRGELANDA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13960-2024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45392</v>
      </c>
      <c r="E174" s="1" t="n">
        <v>46326</v>
      </c>
      <c r="F174" t="inlineStr">
        <is>
          <t>VÄSTRA GÖTALANDS LÄN</t>
        </is>
      </c>
      <c r="G174" t="inlineStr">
        <is>
          <t>FÄRGELANDA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46-2024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45293</v>
      </c>
      <c r="E175" s="1" t="n">
        <v>46326</v>
      </c>
      <c r="F175" t="inlineStr">
        <is>
          <t>VÄSTRA GÖTALANDS LÄN</t>
        </is>
      </c>
      <c r="G175" t="inlineStr">
        <is>
          <t>FÄRGELANDA</t>
        </is>
      </c>
      <c r="I175" t="n">
        <v>3.6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12460-2022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44638</v>
      </c>
      <c r="E176" s="1" t="n">
        <v>46326</v>
      </c>
      <c r="F176" t="inlineStr">
        <is>
          <t>VÄSTRA GÖTALANDS LÄN</t>
        </is>
      </c>
      <c r="G176" t="inlineStr">
        <is>
          <t>FÄRGELANDA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14662-2026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46101</v>
      </c>
      <c r="E177" s="1" t="n">
        <v>46326</v>
      </c>
      <c r="F177" t="inlineStr">
        <is>
          <t>VÄSTRA GÖTALANDS LÄN</t>
        </is>
      </c>
      <c r="G177" t="inlineStr">
        <is>
          <t>FÄRGELANDA</t>
        </is>
      </c>
      <c r="I177" t="n">
        <v>1.7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58324-2022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44901</v>
      </c>
      <c r="E178" s="1" t="n">
        <v>46326</v>
      </c>
      <c r="F178" t="inlineStr">
        <is>
          <t>VÄSTRA GÖTALANDS LÄN</t>
        </is>
      </c>
      <c r="G178" t="inlineStr">
        <is>
          <t>FÄRGELANDA</t>
        </is>
      </c>
      <c r="I178" t="n">
        <v>1.9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15685-2026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46107</v>
      </c>
      <c r="E179" s="1" t="n">
        <v>46326</v>
      </c>
      <c r="F179" t="inlineStr">
        <is>
          <t>VÄSTRA GÖTALANDS LÄN</t>
        </is>
      </c>
      <c r="G179" t="inlineStr">
        <is>
          <t>FÄRGELANDA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22719-2023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45071</v>
      </c>
      <c r="E180" s="1" t="n">
        <v>46326</v>
      </c>
      <c r="F180" t="inlineStr">
        <is>
          <t>VÄSTRA GÖTALANDS LÄN</t>
        </is>
      </c>
      <c r="G180" t="inlineStr">
        <is>
          <t>FÄRGELANDA</t>
        </is>
      </c>
      <c r="I180" t="n">
        <v>3.2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16836-2026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46113</v>
      </c>
      <c r="E181" s="1" t="n">
        <v>46326</v>
      </c>
      <c r="F181" t="inlineStr">
        <is>
          <t>VÄSTRA GÖTALANDS LÄN</t>
        </is>
      </c>
      <c r="G181" t="inlineStr">
        <is>
          <t>FÄRGELANDA</t>
        </is>
      </c>
      <c r="I181" t="n">
        <v>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17375-2026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46119</v>
      </c>
      <c r="E182" s="1" t="n">
        <v>46326</v>
      </c>
      <c r="F182" t="inlineStr">
        <is>
          <t>VÄSTRA GÖTALANDS LÄN</t>
        </is>
      </c>
      <c r="G182" t="inlineStr">
        <is>
          <t>FÄRGELANDA</t>
        </is>
      </c>
      <c r="I182" t="n">
        <v>5.2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17887-2026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46121</v>
      </c>
      <c r="E183" s="1" t="n">
        <v>46326</v>
      </c>
      <c r="F183" t="inlineStr">
        <is>
          <t>VÄSTRA GÖTALANDS LÄN</t>
        </is>
      </c>
      <c r="G183" t="inlineStr">
        <is>
          <t>FÄRGELANDA</t>
        </is>
      </c>
      <c r="H183" t="inlineStr">
        <is>
          <t>Övriga Aktiebolag</t>
        </is>
      </c>
      <c r="I183" t="n">
        <v>12.5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17777-2026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46121</v>
      </c>
      <c r="E184" s="1" t="n">
        <v>46326</v>
      </c>
      <c r="F184" t="inlineStr">
        <is>
          <t>VÄSTRA GÖTALANDS LÄN</t>
        </is>
      </c>
      <c r="G184" t="inlineStr">
        <is>
          <t>FÄRGELANDA</t>
        </is>
      </c>
      <c r="H184" t="inlineStr">
        <is>
          <t>Övriga Aktiebolag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17646-2026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46121</v>
      </c>
      <c r="E185" s="1" t="n">
        <v>46326</v>
      </c>
      <c r="F185" t="inlineStr">
        <is>
          <t>VÄSTRA GÖTALANDS LÄN</t>
        </is>
      </c>
      <c r="G185" t="inlineStr">
        <is>
          <t>FÄRGELANDA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17749-2026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46121</v>
      </c>
      <c r="E186" s="1" t="n">
        <v>46326</v>
      </c>
      <c r="F186" t="inlineStr">
        <is>
          <t>VÄSTRA GÖTALANDS LÄN</t>
        </is>
      </c>
      <c r="G186" t="inlineStr">
        <is>
          <t>FÄRGELANDA</t>
        </is>
      </c>
      <c r="H186" t="inlineStr">
        <is>
          <t>Övriga Aktiebolag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17696-2026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46121</v>
      </c>
      <c r="E187" s="1" t="n">
        <v>46326</v>
      </c>
      <c r="F187" t="inlineStr">
        <is>
          <t>VÄSTRA GÖTALANDS LÄN</t>
        </is>
      </c>
      <c r="G187" t="inlineStr">
        <is>
          <t>FÄRGELANDA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4672-2025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45687</v>
      </c>
      <c r="E188" s="1" t="n">
        <v>46326</v>
      </c>
      <c r="F188" t="inlineStr">
        <is>
          <t>VÄSTRA GÖTALANDS LÄN</t>
        </is>
      </c>
      <c r="G188" t="inlineStr">
        <is>
          <t>FÄRGELANDA</t>
        </is>
      </c>
      <c r="I188" t="n">
        <v>3.2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17991-2026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46124</v>
      </c>
      <c r="E189" s="1" t="n">
        <v>46326</v>
      </c>
      <c r="F189" t="inlineStr">
        <is>
          <t>VÄSTRA GÖTALANDS LÄN</t>
        </is>
      </c>
      <c r="G189" t="inlineStr">
        <is>
          <t>FÄRGELANDA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18003-2023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45040</v>
      </c>
      <c r="E190" s="1" t="n">
        <v>46326</v>
      </c>
      <c r="F190" t="inlineStr">
        <is>
          <t>VÄSTRA GÖTALANDS LÄN</t>
        </is>
      </c>
      <c r="G190" t="inlineStr">
        <is>
          <t>FÄRGELANDA</t>
        </is>
      </c>
      <c r="I190" t="n">
        <v>18.5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18188-2024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45420</v>
      </c>
      <c r="E191" s="1" t="n">
        <v>46326</v>
      </c>
      <c r="F191" t="inlineStr">
        <is>
          <t>VÄSTRA GÖTALANDS LÄN</t>
        </is>
      </c>
      <c r="G191" t="inlineStr">
        <is>
          <t>FÄRGELANDA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18070-2026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46125</v>
      </c>
      <c r="E192" s="1" t="n">
        <v>46326</v>
      </c>
      <c r="F192" t="inlineStr">
        <is>
          <t>VÄSTRA GÖTALANDS LÄN</t>
        </is>
      </c>
      <c r="G192" t="inlineStr">
        <is>
          <t>FÄRGELANDA</t>
        </is>
      </c>
      <c r="H192" t="inlineStr">
        <is>
          <t>Kommuner</t>
        </is>
      </c>
      <c r="I192" t="n">
        <v>7.5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24075-2023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45078</v>
      </c>
      <c r="E193" s="1" t="n">
        <v>46326</v>
      </c>
      <c r="F193" t="inlineStr">
        <is>
          <t>VÄSTRA GÖTALANDS LÄN</t>
        </is>
      </c>
      <c r="G193" t="inlineStr">
        <is>
          <t>FÄRGELANDA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18538-2022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44686</v>
      </c>
      <c r="E194" s="1" t="n">
        <v>46326</v>
      </c>
      <c r="F194" t="inlineStr">
        <is>
          <t>VÄSTRA GÖTALANDS LÄN</t>
        </is>
      </c>
      <c r="G194" t="inlineStr">
        <is>
          <t>FÄRGELANDA</t>
        </is>
      </c>
      <c r="I194" t="n">
        <v>3.9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5032-2023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44958</v>
      </c>
      <c r="E195" s="1" t="n">
        <v>46326</v>
      </c>
      <c r="F195" t="inlineStr">
        <is>
          <t>VÄSTRA GÖTALANDS LÄN</t>
        </is>
      </c>
      <c r="G195" t="inlineStr">
        <is>
          <t>FÄRGELANDA</t>
        </is>
      </c>
      <c r="I195" t="n">
        <v>3.3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60321-2024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45643</v>
      </c>
      <c r="E196" s="1" t="n">
        <v>46326</v>
      </c>
      <c r="F196" t="inlineStr">
        <is>
          <t>VÄSTRA GÖTALANDS LÄN</t>
        </is>
      </c>
      <c r="G196" t="inlineStr">
        <is>
          <t>FÄRGELANDA</t>
        </is>
      </c>
      <c r="I196" t="n">
        <v>3.4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16424-2024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45407</v>
      </c>
      <c r="E197" s="1" t="n">
        <v>46326</v>
      </c>
      <c r="F197" t="inlineStr">
        <is>
          <t>VÄSTRA GÖTALANDS LÄN</t>
        </is>
      </c>
      <c r="G197" t="inlineStr">
        <is>
          <t>FÄRGELANDA</t>
        </is>
      </c>
      <c r="I197" t="n">
        <v>9.800000000000001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17586-2023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45034</v>
      </c>
      <c r="E198" s="1" t="n">
        <v>46326</v>
      </c>
      <c r="F198" t="inlineStr">
        <is>
          <t>VÄSTRA GÖTALANDS LÄN</t>
        </is>
      </c>
      <c r="G198" t="inlineStr">
        <is>
          <t>FÄRGELANDA</t>
        </is>
      </c>
      <c r="I198" t="n">
        <v>5.9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19494-2026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46134</v>
      </c>
      <c r="E199" s="1" t="n">
        <v>46326</v>
      </c>
      <c r="F199" t="inlineStr">
        <is>
          <t>VÄSTRA GÖTALANDS LÄN</t>
        </is>
      </c>
      <c r="G199" t="inlineStr">
        <is>
          <t>FÄRGELANDA</t>
        </is>
      </c>
      <c r="I199" t="n">
        <v>2.5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40221-2025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45894</v>
      </c>
      <c r="E200" s="1" t="n">
        <v>46326</v>
      </c>
      <c r="F200" t="inlineStr">
        <is>
          <t>VÄSTRA GÖTALANDS LÄN</t>
        </is>
      </c>
      <c r="G200" t="inlineStr">
        <is>
          <t>FÄRGELANDA</t>
        </is>
      </c>
      <c r="I200" t="n">
        <v>3.1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29014-2024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45481</v>
      </c>
      <c r="E201" s="1" t="n">
        <v>46326</v>
      </c>
      <c r="F201" t="inlineStr">
        <is>
          <t>VÄSTRA GÖTALANDS LÄN</t>
        </is>
      </c>
      <c r="G201" t="inlineStr">
        <is>
          <t>FÄRGELANDA</t>
        </is>
      </c>
      <c r="I201" t="n">
        <v>2.7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8452-2023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44977</v>
      </c>
      <c r="E202" s="1" t="n">
        <v>46326</v>
      </c>
      <c r="F202" t="inlineStr">
        <is>
          <t>VÄSTRA GÖTALANDS LÄN</t>
        </is>
      </c>
      <c r="G202" t="inlineStr">
        <is>
          <t>FÄRGELANDA</t>
        </is>
      </c>
      <c r="I202" t="n">
        <v>3.1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20046-2026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46136</v>
      </c>
      <c r="E203" s="1" t="n">
        <v>46326</v>
      </c>
      <c r="F203" t="inlineStr">
        <is>
          <t>VÄSTRA GÖTALANDS LÄN</t>
        </is>
      </c>
      <c r="G203" t="inlineStr">
        <is>
          <t>FÄRGELANDA</t>
        </is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5506-2025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45693</v>
      </c>
      <c r="E204" s="1" t="n">
        <v>46326</v>
      </c>
      <c r="F204" t="inlineStr">
        <is>
          <t>VÄSTRA GÖTALANDS LÄN</t>
        </is>
      </c>
      <c r="G204" t="inlineStr">
        <is>
          <t>FÄRGELANDA</t>
        </is>
      </c>
      <c r="I204" t="n">
        <v>2.2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35098-2023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45145</v>
      </c>
      <c r="E205" s="1" t="n">
        <v>46326</v>
      </c>
      <c r="F205" t="inlineStr">
        <is>
          <t>VÄSTRA GÖTALANDS LÄN</t>
        </is>
      </c>
      <c r="G205" t="inlineStr">
        <is>
          <t>FÄRGELANDA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8819-2025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45712</v>
      </c>
      <c r="E206" s="1" t="n">
        <v>46326</v>
      </c>
      <c r="F206" t="inlineStr">
        <is>
          <t>VÄSTRA GÖTALANDS LÄN</t>
        </is>
      </c>
      <c r="G206" t="inlineStr">
        <is>
          <t>FÄRGELANDA</t>
        </is>
      </c>
      <c r="I206" t="n">
        <v>8.1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7387-2025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45705</v>
      </c>
      <c r="E207" s="1" t="n">
        <v>46326</v>
      </c>
      <c r="F207" t="inlineStr">
        <is>
          <t>VÄSTRA GÖTALANDS LÄN</t>
        </is>
      </c>
      <c r="G207" t="inlineStr">
        <is>
          <t>FÄRGELANDA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20359-2025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45775</v>
      </c>
      <c r="E208" s="1" t="n">
        <v>46326</v>
      </c>
      <c r="F208" t="inlineStr">
        <is>
          <t>VÄSTRA GÖTALANDS LÄN</t>
        </is>
      </c>
      <c r="G208" t="inlineStr">
        <is>
          <t>FÄRGELANDA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5515-2025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45693</v>
      </c>
      <c r="E209" s="1" t="n">
        <v>46326</v>
      </c>
      <c r="F209" t="inlineStr">
        <is>
          <t>VÄSTRA GÖTALANDS LÄN</t>
        </is>
      </c>
      <c r="G209" t="inlineStr">
        <is>
          <t>FÄRGELANDA</t>
        </is>
      </c>
      <c r="I209" t="n">
        <v>2.6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18842-2025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45764</v>
      </c>
      <c r="E210" s="1" t="n">
        <v>46326</v>
      </c>
      <c r="F210" t="inlineStr">
        <is>
          <t>VÄSTRA GÖTALANDS LÄN</t>
        </is>
      </c>
      <c r="G210" t="inlineStr">
        <is>
          <t>FÄRGELANDA</t>
        </is>
      </c>
      <c r="I210" t="n">
        <v>1.8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20861-2025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45777</v>
      </c>
      <c r="E211" s="1" t="n">
        <v>46326</v>
      </c>
      <c r="F211" t="inlineStr">
        <is>
          <t>VÄSTRA GÖTALANDS LÄN</t>
        </is>
      </c>
      <c r="G211" t="inlineStr">
        <is>
          <t>FÄRGELANDA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42257-2025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45904</v>
      </c>
      <c r="E212" s="1" t="n">
        <v>46326</v>
      </c>
      <c r="F212" t="inlineStr">
        <is>
          <t>VÄSTRA GÖTALANDS LÄN</t>
        </is>
      </c>
      <c r="G212" t="inlineStr">
        <is>
          <t>FÄRGELANDA</t>
        </is>
      </c>
      <c r="I212" t="n">
        <v>2.2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12533-2025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45730</v>
      </c>
      <c r="E213" s="1" t="n">
        <v>46326</v>
      </c>
      <c r="F213" t="inlineStr">
        <is>
          <t>VÄSTRA GÖTALANDS LÄN</t>
        </is>
      </c>
      <c r="G213" t="inlineStr">
        <is>
          <t>FÄRGELANDA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51468-2025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45950</v>
      </c>
      <c r="E214" s="1" t="n">
        <v>46326</v>
      </c>
      <c r="F214" t="inlineStr">
        <is>
          <t>VÄSTRA GÖTALANDS LÄN</t>
        </is>
      </c>
      <c r="G214" t="inlineStr">
        <is>
          <t>FÄRGELANDA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44796-2022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44841</v>
      </c>
      <c r="E215" s="1" t="n">
        <v>46326</v>
      </c>
      <c r="F215" t="inlineStr">
        <is>
          <t>VÄSTRA GÖTALANDS LÄN</t>
        </is>
      </c>
      <c r="G215" t="inlineStr">
        <is>
          <t>FÄRGELANDA</t>
        </is>
      </c>
      <c r="I215" t="n">
        <v>2.1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57869-2022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44899</v>
      </c>
      <c r="E216" s="1" t="n">
        <v>46326</v>
      </c>
      <c r="F216" t="inlineStr">
        <is>
          <t>VÄSTRA GÖTALANDS LÄN</t>
        </is>
      </c>
      <c r="G216" t="inlineStr">
        <is>
          <t>FÄRGELANDA</t>
        </is>
      </c>
      <c r="I216" t="n">
        <v>1.6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50046-2023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45215</v>
      </c>
      <c r="E217" s="1" t="n">
        <v>46326</v>
      </c>
      <c r="F217" t="inlineStr">
        <is>
          <t>VÄSTRA GÖTALANDS LÄN</t>
        </is>
      </c>
      <c r="G217" t="inlineStr">
        <is>
          <t>FÄRGELANDA</t>
        </is>
      </c>
      <c r="I217" t="n">
        <v>2.4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2117-2022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44578</v>
      </c>
      <c r="E218" s="1" t="n">
        <v>46326</v>
      </c>
      <c r="F218" t="inlineStr">
        <is>
          <t>VÄSTRA GÖTALANDS LÄN</t>
        </is>
      </c>
      <c r="G218" t="inlineStr">
        <is>
          <t>FÄRGELANDA</t>
        </is>
      </c>
      <c r="I218" t="n">
        <v>4.8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26883-2024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45470</v>
      </c>
      <c r="E219" s="1" t="n">
        <v>46326</v>
      </c>
      <c r="F219" t="inlineStr">
        <is>
          <t>VÄSTRA GÖTALANDS LÄN</t>
        </is>
      </c>
      <c r="G219" t="inlineStr">
        <is>
          <t>FÄRGELANDA</t>
        </is>
      </c>
      <c r="I219" t="n">
        <v>4.5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51434-2022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44869</v>
      </c>
      <c r="E220" s="1" t="n">
        <v>46326</v>
      </c>
      <c r="F220" t="inlineStr">
        <is>
          <t>VÄSTRA GÖTALANDS LÄN</t>
        </is>
      </c>
      <c r="G220" t="inlineStr">
        <is>
          <t>FÄRGELANDA</t>
        </is>
      </c>
      <c r="I220" t="n">
        <v>2.9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60468-2024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45643</v>
      </c>
      <c r="E221" s="1" t="n">
        <v>46326</v>
      </c>
      <c r="F221" t="inlineStr">
        <is>
          <t>VÄSTRA GÖTALANDS LÄN</t>
        </is>
      </c>
      <c r="G221" t="inlineStr">
        <is>
          <t>FÄRGELANDA</t>
        </is>
      </c>
      <c r="I221" t="n">
        <v>5.2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35845-2024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45532</v>
      </c>
      <c r="E222" s="1" t="n">
        <v>46326</v>
      </c>
      <c r="F222" t="inlineStr">
        <is>
          <t>VÄSTRA GÖTALANDS LÄN</t>
        </is>
      </c>
      <c r="G222" t="inlineStr">
        <is>
          <t>FÄRGELANDA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59960-2024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45642</v>
      </c>
      <c r="E223" s="1" t="n">
        <v>46326</v>
      </c>
      <c r="F223" t="inlineStr">
        <is>
          <t>VÄSTRA GÖTALANDS LÄN</t>
        </is>
      </c>
      <c r="G223" t="inlineStr">
        <is>
          <t>FÄRGELANDA</t>
        </is>
      </c>
      <c r="I223" t="n">
        <v>2.4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28530-2024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45478</v>
      </c>
      <c r="E224" s="1" t="n">
        <v>46326</v>
      </c>
      <c r="F224" t="inlineStr">
        <is>
          <t>VÄSTRA GÖTALANDS LÄN</t>
        </is>
      </c>
      <c r="G224" t="inlineStr">
        <is>
          <t>FÄRGELANDA</t>
        </is>
      </c>
      <c r="I224" t="n">
        <v>1.9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2948-2026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46038</v>
      </c>
      <c r="E225" s="1" t="n">
        <v>46326</v>
      </c>
      <c r="F225" t="inlineStr">
        <is>
          <t>VÄSTRA GÖTALANDS LÄN</t>
        </is>
      </c>
      <c r="G225" t="inlineStr">
        <is>
          <t>FÄRGELANDA</t>
        </is>
      </c>
      <c r="I225" t="n">
        <v>2.8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47461-2023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45202</v>
      </c>
      <c r="E226" s="1" t="n">
        <v>46326</v>
      </c>
      <c r="F226" t="inlineStr">
        <is>
          <t>VÄSTRA GÖTALANDS LÄN</t>
        </is>
      </c>
      <c r="G226" t="inlineStr">
        <is>
          <t>FÄRGELANDA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21311-2023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45062</v>
      </c>
      <c r="E227" s="1" t="n">
        <v>46326</v>
      </c>
      <c r="F227" t="inlineStr">
        <is>
          <t>VÄSTRA GÖTALANDS LÄN</t>
        </is>
      </c>
      <c r="G227" t="inlineStr">
        <is>
          <t>FÄRGELANDA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56619-2022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44893</v>
      </c>
      <c r="E228" s="1" t="n">
        <v>46326</v>
      </c>
      <c r="F228" t="inlineStr">
        <is>
          <t>VÄSTRA GÖTALANDS LÄN</t>
        </is>
      </c>
      <c r="G228" t="inlineStr">
        <is>
          <t>FÄRGELANDA</t>
        </is>
      </c>
      <c r="I228" t="n">
        <v>2.4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13673-2025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45736</v>
      </c>
      <c r="E229" s="1" t="n">
        <v>46326</v>
      </c>
      <c r="F229" t="inlineStr">
        <is>
          <t>VÄSTRA GÖTALANDS LÄN</t>
        </is>
      </c>
      <c r="G229" t="inlineStr">
        <is>
          <t>FÄRGELANDA</t>
        </is>
      </c>
      <c r="I229" t="n">
        <v>0.4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21897-2026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46150</v>
      </c>
      <c r="E230" s="1" t="n">
        <v>46326</v>
      </c>
      <c r="F230" t="inlineStr">
        <is>
          <t>VÄSTRA GÖTALANDS LÄN</t>
        </is>
      </c>
      <c r="G230" t="inlineStr">
        <is>
          <t>FÄRGELANDA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34433-2023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45139</v>
      </c>
      <c r="E231" s="1" t="n">
        <v>46326</v>
      </c>
      <c r="F231" t="inlineStr">
        <is>
          <t>VÄSTRA GÖTALANDS LÄN</t>
        </is>
      </c>
      <c r="G231" t="inlineStr">
        <is>
          <t>FÄRGELANDA</t>
        </is>
      </c>
      <c r="I231" t="n">
        <v>9.6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25826-2024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45467</v>
      </c>
      <c r="E232" s="1" t="n">
        <v>46326</v>
      </c>
      <c r="F232" t="inlineStr">
        <is>
          <t>VÄSTRA GÖTALANDS LÄN</t>
        </is>
      </c>
      <c r="G232" t="inlineStr">
        <is>
          <t>FÄRGELANDA</t>
        </is>
      </c>
      <c r="I232" t="n">
        <v>2.4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54698-2022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44883</v>
      </c>
      <c r="E233" s="1" t="n">
        <v>46326</v>
      </c>
      <c r="F233" t="inlineStr">
        <is>
          <t>VÄSTRA GÖTALANDS LÄN</t>
        </is>
      </c>
      <c r="G233" t="inlineStr">
        <is>
          <t>FÄRGELANDA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8450-2023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44977</v>
      </c>
      <c r="E234" s="1" t="n">
        <v>46326</v>
      </c>
      <c r="F234" t="inlineStr">
        <is>
          <t>VÄSTRA GÖTALANDS LÄN</t>
        </is>
      </c>
      <c r="G234" t="inlineStr">
        <is>
          <t>FÄRGELANDA</t>
        </is>
      </c>
      <c r="I234" t="n">
        <v>4.4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48479-2025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45936</v>
      </c>
      <c r="E235" s="1" t="n">
        <v>46326</v>
      </c>
      <c r="F235" t="inlineStr">
        <is>
          <t>VÄSTRA GÖTALANDS LÄN</t>
        </is>
      </c>
      <c r="G235" t="inlineStr">
        <is>
          <t>FÄRGELANDA</t>
        </is>
      </c>
      <c r="H235" t="inlineStr">
        <is>
          <t>Kommuner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4285-2025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45685</v>
      </c>
      <c r="E236" s="1" t="n">
        <v>46326</v>
      </c>
      <c r="F236" t="inlineStr">
        <is>
          <t>VÄSTRA GÖTALANDS LÄN</t>
        </is>
      </c>
      <c r="G236" t="inlineStr">
        <is>
          <t>FÄRGELANDA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37783-2023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45159</v>
      </c>
      <c r="E237" s="1" t="n">
        <v>46326</v>
      </c>
      <c r="F237" t="inlineStr">
        <is>
          <t>VÄSTRA GÖTALANDS LÄN</t>
        </is>
      </c>
      <c r="G237" t="inlineStr">
        <is>
          <t>FÄRGELANDA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23826-2026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46166</v>
      </c>
      <c r="E238" s="1" t="n">
        <v>46326</v>
      </c>
      <c r="F238" t="inlineStr">
        <is>
          <t>VÄSTRA GÖTALANDS LÄN</t>
        </is>
      </c>
      <c r="G238" t="inlineStr">
        <is>
          <t>FÄRGELANDA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51019-2023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45218</v>
      </c>
      <c r="E239" s="1" t="n">
        <v>46326</v>
      </c>
      <c r="F239" t="inlineStr">
        <is>
          <t>VÄSTRA GÖTALANDS LÄN</t>
        </is>
      </c>
      <c r="G239" t="inlineStr">
        <is>
          <t>FÄRGELANDA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55840-2023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45239</v>
      </c>
      <c r="E240" s="1" t="n">
        <v>46326</v>
      </c>
      <c r="F240" t="inlineStr">
        <is>
          <t>VÄSTRA GÖTALANDS LÄN</t>
        </is>
      </c>
      <c r="G240" t="inlineStr">
        <is>
          <t>FÄRGELANDA</t>
        </is>
      </c>
      <c r="I240" t="n">
        <v>5.6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71963-2021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44544</v>
      </c>
      <c r="E241" s="1" t="n">
        <v>46326</v>
      </c>
      <c r="F241" t="inlineStr">
        <is>
          <t>VÄSTRA GÖTALANDS LÄN</t>
        </is>
      </c>
      <c r="G241" t="inlineStr">
        <is>
          <t>FÄRGELANDA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4838-2022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44592</v>
      </c>
      <c r="E242" s="1" t="n">
        <v>46326</v>
      </c>
      <c r="F242" t="inlineStr">
        <is>
          <t>VÄSTRA GÖTALANDS LÄN</t>
        </is>
      </c>
      <c r="G242" t="inlineStr">
        <is>
          <t>FÄRGELANDA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39962-2023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45168</v>
      </c>
      <c r="E243" s="1" t="n">
        <v>46326</v>
      </c>
      <c r="F243" t="inlineStr">
        <is>
          <t>VÄSTRA GÖTALANDS LÄN</t>
        </is>
      </c>
      <c r="G243" t="inlineStr">
        <is>
          <t>FÄRGELANDA</t>
        </is>
      </c>
      <c r="I243" t="n">
        <v>2.4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37898-2022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44811</v>
      </c>
      <c r="E244" s="1" t="n">
        <v>46326</v>
      </c>
      <c r="F244" t="inlineStr">
        <is>
          <t>VÄSTRA GÖTALANDS LÄN</t>
        </is>
      </c>
      <c r="G244" t="inlineStr">
        <is>
          <t>FÄRGELANDA</t>
        </is>
      </c>
      <c r="I244" t="n">
        <v>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25568-2026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46177</v>
      </c>
      <c r="E245" s="1" t="n">
        <v>46326</v>
      </c>
      <c r="F245" t="inlineStr">
        <is>
          <t>VÄSTRA GÖTALANDS LÄN</t>
        </is>
      </c>
      <c r="G245" t="inlineStr">
        <is>
          <t>FÄRGELANDA</t>
        </is>
      </c>
      <c r="I245" t="n">
        <v>1.4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61914-2022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44917</v>
      </c>
      <c r="E246" s="1" t="n">
        <v>46326</v>
      </c>
      <c r="F246" t="inlineStr">
        <is>
          <t>VÄSTRA GÖTALANDS LÄN</t>
        </is>
      </c>
      <c r="G246" t="inlineStr">
        <is>
          <t>FÄRGELANDA</t>
        </is>
      </c>
      <c r="I246" t="n">
        <v>7.4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60330-2024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45643</v>
      </c>
      <c r="E247" s="1" t="n">
        <v>46326</v>
      </c>
      <c r="F247" t="inlineStr">
        <is>
          <t>VÄSTRA GÖTALANDS LÄN</t>
        </is>
      </c>
      <c r="G247" t="inlineStr">
        <is>
          <t>FÄRGELANDA</t>
        </is>
      </c>
      <c r="I247" t="n">
        <v>4.3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19386-2023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45049</v>
      </c>
      <c r="E248" s="1" t="n">
        <v>46326</v>
      </c>
      <c r="F248" t="inlineStr">
        <is>
          <t>VÄSTRA GÖTALANDS LÄN</t>
        </is>
      </c>
      <c r="G248" t="inlineStr">
        <is>
          <t>FÄRGELANDA</t>
        </is>
      </c>
      <c r="I248" t="n">
        <v>5.7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55310-2023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45237</v>
      </c>
      <c r="E249" s="1" t="n">
        <v>46326</v>
      </c>
      <c r="F249" t="inlineStr">
        <is>
          <t>VÄSTRA GÖTALANDS LÄN</t>
        </is>
      </c>
      <c r="G249" t="inlineStr">
        <is>
          <t>FÄRGELANDA</t>
        </is>
      </c>
      <c r="I249" t="n">
        <v>3.5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27284-2026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46188</v>
      </c>
      <c r="E250" s="1" t="n">
        <v>46326</v>
      </c>
      <c r="F250" t="inlineStr">
        <is>
          <t>VÄSTRA GÖTALANDS LÄN</t>
        </is>
      </c>
      <c r="G250" t="inlineStr">
        <is>
          <t>FÄRGELANDA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27593-2026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46190</v>
      </c>
      <c r="E251" s="1" t="n">
        <v>46326</v>
      </c>
      <c r="F251" t="inlineStr">
        <is>
          <t>VÄSTRA GÖTALANDS LÄN</t>
        </is>
      </c>
      <c r="G251" t="inlineStr">
        <is>
          <t>FÄRGELANDA</t>
        </is>
      </c>
      <c r="I251" t="n">
        <v>2.9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52151-2022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44873</v>
      </c>
      <c r="E252" s="1" t="n">
        <v>46326</v>
      </c>
      <c r="F252" t="inlineStr">
        <is>
          <t>VÄSTRA GÖTALANDS LÄN</t>
        </is>
      </c>
      <c r="G252" t="inlineStr">
        <is>
          <t>FÄRGELANDA</t>
        </is>
      </c>
      <c r="I252" t="n">
        <v>7.1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28163-2026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46195</v>
      </c>
      <c r="E253" s="1" t="n">
        <v>46326</v>
      </c>
      <c r="F253" t="inlineStr">
        <is>
          <t>VÄSTRA GÖTALANDS LÄN</t>
        </is>
      </c>
      <c r="G253" t="inlineStr">
        <is>
          <t>FÄRGELANDA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62643-2023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45271</v>
      </c>
      <c r="E254" s="1" t="n">
        <v>46326</v>
      </c>
      <c r="F254" t="inlineStr">
        <is>
          <t>VÄSTRA GÖTALANDS LÄN</t>
        </is>
      </c>
      <c r="G254" t="inlineStr">
        <is>
          <t>FÄRGELANDA</t>
        </is>
      </c>
      <c r="I254" t="n">
        <v>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35844-2024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45532</v>
      </c>
      <c r="E255" s="1" t="n">
        <v>46326</v>
      </c>
      <c r="F255" t="inlineStr">
        <is>
          <t>VÄSTRA GÖTALANDS LÄN</t>
        </is>
      </c>
      <c r="G255" t="inlineStr">
        <is>
          <t>FÄRGELANDA</t>
        </is>
      </c>
      <c r="I255" t="n">
        <v>2.1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4206-2024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45324</v>
      </c>
      <c r="E256" s="1" t="n">
        <v>46326</v>
      </c>
      <c r="F256" t="inlineStr">
        <is>
          <t>VÄSTRA GÖTALANDS LÄN</t>
        </is>
      </c>
      <c r="G256" t="inlineStr">
        <is>
          <t>FÄRGELANDA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40630-2023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45170</v>
      </c>
      <c r="E257" s="1" t="n">
        <v>46326</v>
      </c>
      <c r="F257" t="inlineStr">
        <is>
          <t>VÄSTRA GÖTALANDS LÄN</t>
        </is>
      </c>
      <c r="G257" t="inlineStr">
        <is>
          <t>FÄRGELANDA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30004-2026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46202</v>
      </c>
      <c r="E258" s="1" t="n">
        <v>46326</v>
      </c>
      <c r="F258" t="inlineStr">
        <is>
          <t>VÄSTRA GÖTALANDS LÄN</t>
        </is>
      </c>
      <c r="G258" t="inlineStr">
        <is>
          <t>FÄRGELANDA</t>
        </is>
      </c>
      <c r="H258" t="inlineStr">
        <is>
          <t>Övriga Aktiebolag</t>
        </is>
      </c>
      <c r="I258" t="n">
        <v>1.7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34715-2023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45141</v>
      </c>
      <c r="E259" s="1" t="n">
        <v>46326</v>
      </c>
      <c r="F259" t="inlineStr">
        <is>
          <t>VÄSTRA GÖTALANDS LÄN</t>
        </is>
      </c>
      <c r="G259" t="inlineStr">
        <is>
          <t>FÄRGELANDA</t>
        </is>
      </c>
      <c r="I259" t="n">
        <v>7.2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29677-2026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46204</v>
      </c>
      <c r="E260" s="1" t="n">
        <v>46326</v>
      </c>
      <c r="F260" t="inlineStr">
        <is>
          <t>VÄSTRA GÖTALANDS LÄN</t>
        </is>
      </c>
      <c r="G260" t="inlineStr">
        <is>
          <t>FÄRGELANDA</t>
        </is>
      </c>
      <c r="I260" t="n">
        <v>6.2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31159-2026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46209</v>
      </c>
      <c r="E261" s="1" t="n">
        <v>46326</v>
      </c>
      <c r="F261" t="inlineStr">
        <is>
          <t>VÄSTRA GÖTALANDS LÄN</t>
        </is>
      </c>
      <c r="G261" t="inlineStr">
        <is>
          <t>FÄRGELANDA</t>
        </is>
      </c>
      <c r="H261" t="inlineStr">
        <is>
          <t>Övriga Aktiebolag</t>
        </is>
      </c>
      <c r="I261" t="n">
        <v>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29961-2026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46205</v>
      </c>
      <c r="E262" s="1" t="n">
        <v>46326</v>
      </c>
      <c r="F262" t="inlineStr">
        <is>
          <t>VÄSTRA GÖTALANDS LÄN</t>
        </is>
      </c>
      <c r="G262" t="inlineStr">
        <is>
          <t>FÄRGELANDA</t>
        </is>
      </c>
      <c r="H262" t="inlineStr">
        <is>
          <t>Kommuner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1678-2025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45670</v>
      </c>
      <c r="E263" s="1" t="n">
        <v>46326</v>
      </c>
      <c r="F263" t="inlineStr">
        <is>
          <t>VÄSTRA GÖTALANDS LÄN</t>
        </is>
      </c>
      <c r="G263" t="inlineStr">
        <is>
          <t>FÄRGELANDA</t>
        </is>
      </c>
      <c r="I263" t="n">
        <v>1.7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59020-2023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45252</v>
      </c>
      <c r="E264" s="1" t="n">
        <v>46326</v>
      </c>
      <c r="F264" t="inlineStr">
        <is>
          <t>VÄSTRA GÖTALANDS LÄN</t>
        </is>
      </c>
      <c r="G264" t="inlineStr">
        <is>
          <t>FÄRGELANDA</t>
        </is>
      </c>
      <c r="I264" t="n">
        <v>3.7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6666-2025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45700</v>
      </c>
      <c r="E265" s="1" t="n">
        <v>46326</v>
      </c>
      <c r="F265" t="inlineStr">
        <is>
          <t>VÄSTRA GÖTALANDS LÄN</t>
        </is>
      </c>
      <c r="G265" t="inlineStr">
        <is>
          <t>FÄRGELANDA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20266-2026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46139</v>
      </c>
      <c r="E266" s="1" t="n">
        <v>46326</v>
      </c>
      <c r="F266" t="inlineStr">
        <is>
          <t>VÄSTRA GÖTALANDS LÄN</t>
        </is>
      </c>
      <c r="G266" t="inlineStr">
        <is>
          <t>FÄRGELANDA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53559-2022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44879</v>
      </c>
      <c r="E267" s="1" t="n">
        <v>46326</v>
      </c>
      <c r="F267" t="inlineStr">
        <is>
          <t>VÄSTRA GÖTALANDS LÄN</t>
        </is>
      </c>
      <c r="G267" t="inlineStr">
        <is>
          <t>FÄRGELANDA</t>
        </is>
      </c>
      <c r="I267" t="n">
        <v>0.4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27521-2024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45474</v>
      </c>
      <c r="E268" s="1" t="n">
        <v>46326</v>
      </c>
      <c r="F268" t="inlineStr">
        <is>
          <t>VÄSTRA GÖTALANDS LÄN</t>
        </is>
      </c>
      <c r="G268" t="inlineStr">
        <is>
          <t>FÄRGELANDA</t>
        </is>
      </c>
      <c r="I268" t="n">
        <v>4.3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8185-2023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44974</v>
      </c>
      <c r="E269" s="1" t="n">
        <v>46326</v>
      </c>
      <c r="F269" t="inlineStr">
        <is>
          <t>VÄSTRA GÖTALANDS LÄN</t>
        </is>
      </c>
      <c r="G269" t="inlineStr">
        <is>
          <t>FÄRGELANDA</t>
        </is>
      </c>
      <c r="I269" t="n">
        <v>7.1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18932-2024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45427</v>
      </c>
      <c r="E270" s="1" t="n">
        <v>46326</v>
      </c>
      <c r="F270" t="inlineStr">
        <is>
          <t>VÄSTRA GÖTALANDS LÄN</t>
        </is>
      </c>
      <c r="G270" t="inlineStr">
        <is>
          <t>FÄRGELANDA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56614-2022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44893</v>
      </c>
      <c r="E271" s="1" t="n">
        <v>46326</v>
      </c>
      <c r="F271" t="inlineStr">
        <is>
          <t>VÄSTRA GÖTALANDS LÄN</t>
        </is>
      </c>
      <c r="G271" t="inlineStr">
        <is>
          <t>FÄRGELANDA</t>
        </is>
      </c>
      <c r="I271" t="n">
        <v>5.6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18186-2024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45420</v>
      </c>
      <c r="E272" s="1" t="n">
        <v>46326</v>
      </c>
      <c r="F272" t="inlineStr">
        <is>
          <t>VÄSTRA GÖTALANDS LÄN</t>
        </is>
      </c>
      <c r="G272" t="inlineStr">
        <is>
          <t>FÄRGELANDA</t>
        </is>
      </c>
      <c r="I272" t="n">
        <v>1.3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5437-2022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44595</v>
      </c>
      <c r="E273" s="1" t="n">
        <v>46326</v>
      </c>
      <c r="F273" t="inlineStr">
        <is>
          <t>VÄSTRA GÖTALANDS LÄN</t>
        </is>
      </c>
      <c r="G273" t="inlineStr">
        <is>
          <t>FÄRGELANDA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22679-2026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46156</v>
      </c>
      <c r="E274" s="1" t="n">
        <v>46326</v>
      </c>
      <c r="F274" t="inlineStr">
        <is>
          <t>VÄSTRA GÖTALANDS LÄN</t>
        </is>
      </c>
      <c r="G274" t="inlineStr">
        <is>
          <t>FÄRGELANDA</t>
        </is>
      </c>
      <c r="I274" t="n">
        <v>20.6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72655-2021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44546</v>
      </c>
      <c r="E275" s="1" t="n">
        <v>46326</v>
      </c>
      <c r="F275" t="inlineStr">
        <is>
          <t>VÄSTRA GÖTALANDS LÄN</t>
        </is>
      </c>
      <c r="G275" t="inlineStr">
        <is>
          <t>FÄRGELANDA</t>
        </is>
      </c>
      <c r="I275" t="n">
        <v>2.5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31885-2022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44777</v>
      </c>
      <c r="E276" s="1" t="n">
        <v>46326</v>
      </c>
      <c r="F276" t="inlineStr">
        <is>
          <t>VÄSTRA GÖTALANDS LÄN</t>
        </is>
      </c>
      <c r="G276" t="inlineStr">
        <is>
          <t>FÄRGELANDA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44846-2024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45574</v>
      </c>
      <c r="E277" s="1" t="n">
        <v>46326</v>
      </c>
      <c r="F277" t="inlineStr">
        <is>
          <t>VÄSTRA GÖTALANDS LÄN</t>
        </is>
      </c>
      <c r="G277" t="inlineStr">
        <is>
          <t>FÄRGELANDA</t>
        </is>
      </c>
      <c r="I277" t="n">
        <v>0.4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28803-2022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44749</v>
      </c>
      <c r="E278" s="1" t="n">
        <v>46326</v>
      </c>
      <c r="F278" t="inlineStr">
        <is>
          <t>VÄSTRA GÖTALANDS LÄN</t>
        </is>
      </c>
      <c r="G278" t="inlineStr">
        <is>
          <t>FÄRGELANDA</t>
        </is>
      </c>
      <c r="I278" t="n">
        <v>1.6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28106-2026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46195</v>
      </c>
      <c r="E279" s="1" t="n">
        <v>46326</v>
      </c>
      <c r="F279" t="inlineStr">
        <is>
          <t>VÄSTRA GÖTALANDS LÄN</t>
        </is>
      </c>
      <c r="G279" t="inlineStr">
        <is>
          <t>FÄRGELANDA</t>
        </is>
      </c>
      <c r="I279" t="n">
        <v>1.6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17456-2024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45415</v>
      </c>
      <c r="E280" s="1" t="n">
        <v>46326</v>
      </c>
      <c r="F280" t="inlineStr">
        <is>
          <t>VÄSTRA GÖTALANDS LÄN</t>
        </is>
      </c>
      <c r="G280" t="inlineStr">
        <is>
          <t>FÄRGELANDA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57267-2022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44895</v>
      </c>
      <c r="E281" s="1" t="n">
        <v>46326</v>
      </c>
      <c r="F281" t="inlineStr">
        <is>
          <t>VÄSTRA GÖTALANDS LÄN</t>
        </is>
      </c>
      <c r="G281" t="inlineStr">
        <is>
          <t>FÄRGELANDA</t>
        </is>
      </c>
      <c r="I281" t="n">
        <v>7.2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40213-2025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45894</v>
      </c>
      <c r="E282" s="1" t="n">
        <v>46326</v>
      </c>
      <c r="F282" t="inlineStr">
        <is>
          <t>VÄSTRA GÖTALANDS LÄN</t>
        </is>
      </c>
      <c r="G282" t="inlineStr">
        <is>
          <t>FÄRGELANDA</t>
        </is>
      </c>
      <c r="I282" t="n">
        <v>3.2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37784-2023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45159</v>
      </c>
      <c r="E283" s="1" t="n">
        <v>46326</v>
      </c>
      <c r="F283" t="inlineStr">
        <is>
          <t>VÄSTRA GÖTALANDS LÄN</t>
        </is>
      </c>
      <c r="G283" t="inlineStr">
        <is>
          <t>FÄRGELANDA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37787-2023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45159</v>
      </c>
      <c r="E284" s="1" t="n">
        <v>46326</v>
      </c>
      <c r="F284" t="inlineStr">
        <is>
          <t>VÄSTRA GÖTALANDS LÄN</t>
        </is>
      </c>
      <c r="G284" t="inlineStr">
        <is>
          <t>FÄRGELANDA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37788-2023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45159</v>
      </c>
      <c r="E285" s="1" t="n">
        <v>46326</v>
      </c>
      <c r="F285" t="inlineStr">
        <is>
          <t>VÄSTRA GÖTALANDS LÄN</t>
        </is>
      </c>
      <c r="G285" t="inlineStr">
        <is>
          <t>FÄRGELANDA</t>
        </is>
      </c>
      <c r="I285" t="n">
        <v>1.9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32904-2026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46244</v>
      </c>
      <c r="E286" s="1" t="n">
        <v>46326</v>
      </c>
      <c r="F286" t="inlineStr">
        <is>
          <t>VÄSTRA GÖTALANDS LÄN</t>
        </is>
      </c>
      <c r="G286" t="inlineStr">
        <is>
          <t>FÄRGELANDA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13559-2024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45388</v>
      </c>
      <c r="E287" s="1" t="n">
        <v>46326</v>
      </c>
      <c r="F287" t="inlineStr">
        <is>
          <t>VÄSTRA GÖTALANDS LÄN</t>
        </is>
      </c>
      <c r="G287" t="inlineStr">
        <is>
          <t>FÄRGELANDA</t>
        </is>
      </c>
      <c r="I287" t="n">
        <v>2.5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10381-2022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44623</v>
      </c>
      <c r="E288" s="1" t="n">
        <v>46326</v>
      </c>
      <c r="F288" t="inlineStr">
        <is>
          <t>VÄSTRA GÖTALANDS LÄN</t>
        </is>
      </c>
      <c r="G288" t="inlineStr">
        <is>
          <t>FÄRGELANDA</t>
        </is>
      </c>
      <c r="I288" t="n">
        <v>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17129-2023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45034</v>
      </c>
      <c r="E289" s="1" t="n">
        <v>46326</v>
      </c>
      <c r="F289" t="inlineStr">
        <is>
          <t>VÄSTRA GÖTALANDS LÄN</t>
        </is>
      </c>
      <c r="G289" t="inlineStr">
        <is>
          <t>FÄRGELANDA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22721-2023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45071</v>
      </c>
      <c r="E290" s="1" t="n">
        <v>46326</v>
      </c>
      <c r="F290" t="inlineStr">
        <is>
          <t>VÄSTRA GÖTALANDS LÄN</t>
        </is>
      </c>
      <c r="G290" t="inlineStr">
        <is>
          <t>FÄRGELANDA</t>
        </is>
      </c>
      <c r="I290" t="n">
        <v>1.5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20736-2025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45776</v>
      </c>
      <c r="E291" s="1" t="n">
        <v>46326</v>
      </c>
      <c r="F291" t="inlineStr">
        <is>
          <t>VÄSTRA GÖTALANDS LÄN</t>
        </is>
      </c>
      <c r="G291" t="inlineStr">
        <is>
          <t>FÄRGELANDA</t>
        </is>
      </c>
      <c r="I291" t="n">
        <v>2.9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21126-2025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45777</v>
      </c>
      <c r="E292" s="1" t="n">
        <v>46326</v>
      </c>
      <c r="F292" t="inlineStr">
        <is>
          <t>VÄSTRA GÖTALANDS LÄN</t>
        </is>
      </c>
      <c r="G292" t="inlineStr">
        <is>
          <t>FÄRGELANDA</t>
        </is>
      </c>
      <c r="I292" t="n">
        <v>5.2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21125-2025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45777</v>
      </c>
      <c r="E293" s="1" t="n">
        <v>46326</v>
      </c>
      <c r="F293" t="inlineStr">
        <is>
          <t>VÄSTRA GÖTALANDS LÄN</t>
        </is>
      </c>
      <c r="G293" t="inlineStr">
        <is>
          <t>FÄRGELANDA</t>
        </is>
      </c>
      <c r="I293" t="n">
        <v>3.6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33591-2026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46248</v>
      </c>
      <c r="E294" s="1" t="n">
        <v>46326</v>
      </c>
      <c r="F294" t="inlineStr">
        <is>
          <t>VÄSTRA GÖTALANDS LÄN</t>
        </is>
      </c>
      <c r="G294" t="inlineStr">
        <is>
          <t>FÄRGELANDA</t>
        </is>
      </c>
      <c r="I294" t="n">
        <v>1.6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16828-2023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45033</v>
      </c>
      <c r="E295" s="1" t="n">
        <v>46326</v>
      </c>
      <c r="F295" t="inlineStr">
        <is>
          <t>VÄSTRA GÖTALANDS LÄN</t>
        </is>
      </c>
      <c r="G295" t="inlineStr">
        <is>
          <t>FÄRGELANDA</t>
        </is>
      </c>
      <c r="I295" t="n">
        <v>1.6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6322-2024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45338</v>
      </c>
      <c r="E296" s="1" t="n">
        <v>46326</v>
      </c>
      <c r="F296" t="inlineStr">
        <is>
          <t>VÄSTRA GÖTALANDS LÄN</t>
        </is>
      </c>
      <c r="G296" t="inlineStr">
        <is>
          <t>FÄRGELANDA</t>
        </is>
      </c>
      <c r="I296" t="n">
        <v>1.5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33593-2026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46248</v>
      </c>
      <c r="E297" s="1" t="n">
        <v>46326</v>
      </c>
      <c r="F297" t="inlineStr">
        <is>
          <t>VÄSTRA GÖTALANDS LÄN</t>
        </is>
      </c>
      <c r="G297" t="inlineStr">
        <is>
          <t>FÄRGELANDA</t>
        </is>
      </c>
      <c r="I297" t="n">
        <v>1.4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60382-2023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45259</v>
      </c>
      <c r="E298" s="1" t="n">
        <v>46326</v>
      </c>
      <c r="F298" t="inlineStr">
        <is>
          <t>VÄSTRA GÖTALANDS LÄN</t>
        </is>
      </c>
      <c r="G298" t="inlineStr">
        <is>
          <t>FÄRGELANDA</t>
        </is>
      </c>
      <c r="I298" t="n">
        <v>4.8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15077-2025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45743</v>
      </c>
      <c r="E299" s="1" t="n">
        <v>46326</v>
      </c>
      <c r="F299" t="inlineStr">
        <is>
          <t>VÄSTRA GÖTALANDS LÄN</t>
        </is>
      </c>
      <c r="G299" t="inlineStr">
        <is>
          <t>FÄRGELANDA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34015-2026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46252</v>
      </c>
      <c r="E300" s="1" t="n">
        <v>46326</v>
      </c>
      <c r="F300" t="inlineStr">
        <is>
          <t>VÄSTRA GÖTALANDS LÄN</t>
        </is>
      </c>
      <c r="G300" t="inlineStr">
        <is>
          <t>FÄRGELANDA</t>
        </is>
      </c>
      <c r="I300" t="n">
        <v>2.8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33722-2026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46251</v>
      </c>
      <c r="E301" s="1" t="n">
        <v>46326</v>
      </c>
      <c r="F301" t="inlineStr">
        <is>
          <t>VÄSTRA GÖTALANDS LÄN</t>
        </is>
      </c>
      <c r="G301" t="inlineStr">
        <is>
          <t>FÄRGELANDA</t>
        </is>
      </c>
      <c r="I301" t="n">
        <v>12.5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14014-2025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45740</v>
      </c>
      <c r="E302" s="1" t="n">
        <v>46326</v>
      </c>
      <c r="F302" t="inlineStr">
        <is>
          <t>VÄSTRA GÖTALANDS LÄN</t>
        </is>
      </c>
      <c r="G302" t="inlineStr">
        <is>
          <t>FÄRGELANDA</t>
        </is>
      </c>
      <c r="I302" t="n">
        <v>3.7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9285-2025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45714</v>
      </c>
      <c r="E303" s="1" t="n">
        <v>46326</v>
      </c>
      <c r="F303" t="inlineStr">
        <is>
          <t>VÄSTRA GÖTALANDS LÄN</t>
        </is>
      </c>
      <c r="G303" t="inlineStr">
        <is>
          <t>FÄRGELANDA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17911-2024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45419</v>
      </c>
      <c r="E304" s="1" t="n">
        <v>46326</v>
      </c>
      <c r="F304" t="inlineStr">
        <is>
          <t>VÄSTRA GÖTALANDS LÄN</t>
        </is>
      </c>
      <c r="G304" t="inlineStr">
        <is>
          <t>FÄRGELANDA</t>
        </is>
      </c>
      <c r="H304" t="inlineStr">
        <is>
          <t>Kommuner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33726-2026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46251</v>
      </c>
      <c r="E305" s="1" t="n">
        <v>46326</v>
      </c>
      <c r="F305" t="inlineStr">
        <is>
          <t>VÄSTRA GÖTALANDS LÄN</t>
        </is>
      </c>
      <c r="G305" t="inlineStr">
        <is>
          <t>FÄRGELANDA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40911-2026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46297</v>
      </c>
      <c r="E306" s="1" t="n">
        <v>46326</v>
      </c>
      <c r="F306" t="inlineStr">
        <is>
          <t>VÄSTRA GÖTALANDS LÄN</t>
        </is>
      </c>
      <c r="G306" t="inlineStr">
        <is>
          <t>FÄRGELANDA</t>
        </is>
      </c>
      <c r="I306" t="n">
        <v>1.7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40861-2026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46297</v>
      </c>
      <c r="E307" s="1" t="n">
        <v>46326</v>
      </c>
      <c r="F307" t="inlineStr">
        <is>
          <t>VÄSTRA GÖTALANDS LÄN</t>
        </is>
      </c>
      <c r="G307" t="inlineStr">
        <is>
          <t>FÄRGELANDA</t>
        </is>
      </c>
      <c r="I307" t="n">
        <v>5.9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24082-2025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45796</v>
      </c>
      <c r="E308" s="1" t="n">
        <v>46326</v>
      </c>
      <c r="F308" t="inlineStr">
        <is>
          <t>VÄSTRA GÖTALANDS LÄN</t>
        </is>
      </c>
      <c r="G308" t="inlineStr">
        <is>
          <t>FÄRGELANDA</t>
        </is>
      </c>
      <c r="I308" t="n">
        <v>4.4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24731-2025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45799</v>
      </c>
      <c r="E309" s="1" t="n">
        <v>46326</v>
      </c>
      <c r="F309" t="inlineStr">
        <is>
          <t>VÄSTRA GÖTALANDS LÄN</t>
        </is>
      </c>
      <c r="G309" t="inlineStr">
        <is>
          <t>FÄRGELANDA</t>
        </is>
      </c>
      <c r="I309" t="n">
        <v>6.5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40916-2026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46297</v>
      </c>
      <c r="E310" s="1" t="n">
        <v>46326</v>
      </c>
      <c r="F310" t="inlineStr">
        <is>
          <t>VÄSTRA GÖTALANDS LÄN</t>
        </is>
      </c>
      <c r="G310" t="inlineStr">
        <is>
          <t>FÄRGELANDA</t>
        </is>
      </c>
      <c r="I310" t="n">
        <v>2.3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8574-2024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45355</v>
      </c>
      <c r="E311" s="1" t="n">
        <v>46326</v>
      </c>
      <c r="F311" t="inlineStr">
        <is>
          <t>VÄSTRA GÖTALANDS LÄN</t>
        </is>
      </c>
      <c r="G311" t="inlineStr">
        <is>
          <t>FÄRGELANDA</t>
        </is>
      </c>
      <c r="I311" t="n">
        <v>2.2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40745-2026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46296</v>
      </c>
      <c r="E312" s="1" t="n">
        <v>46326</v>
      </c>
      <c r="F312" t="inlineStr">
        <is>
          <t>VÄSTRA GÖTALANDS LÄN</t>
        </is>
      </c>
      <c r="G312" t="inlineStr">
        <is>
          <t>FÄRGELANDA</t>
        </is>
      </c>
      <c r="H312" t="inlineStr">
        <is>
          <t>Kyrkan</t>
        </is>
      </c>
      <c r="I312" t="n">
        <v>1.9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41194-2026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46300</v>
      </c>
      <c r="E313" s="1" t="n">
        <v>46326</v>
      </c>
      <c r="F313" t="inlineStr">
        <is>
          <t>VÄSTRA GÖTALANDS LÄN</t>
        </is>
      </c>
      <c r="G313" t="inlineStr">
        <is>
          <t>FÄRGELANDA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41133-2026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46300</v>
      </c>
      <c r="E314" s="1" t="n">
        <v>46326</v>
      </c>
      <c r="F314" t="inlineStr">
        <is>
          <t>VÄSTRA GÖTALANDS LÄN</t>
        </is>
      </c>
      <c r="G314" t="inlineStr">
        <is>
          <t>FÄRGELANDA</t>
        </is>
      </c>
      <c r="I314" t="n">
        <v>3.1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34863-2026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46258</v>
      </c>
      <c r="E315" s="1" t="n">
        <v>46326</v>
      </c>
      <c r="F315" t="inlineStr">
        <is>
          <t>VÄSTRA GÖTALANDS LÄN</t>
        </is>
      </c>
      <c r="G315" t="inlineStr">
        <is>
          <t>FÄRGELANDA</t>
        </is>
      </c>
      <c r="I315" t="n">
        <v>13.9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35044-2026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46259</v>
      </c>
      <c r="E316" s="1" t="n">
        <v>46326</v>
      </c>
      <c r="F316" t="inlineStr">
        <is>
          <t>VÄSTRA GÖTALANDS LÄN</t>
        </is>
      </c>
      <c r="G316" t="inlineStr">
        <is>
          <t>FÄRGELANDA</t>
        </is>
      </c>
      <c r="I316" t="n">
        <v>3.8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35507-2026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46262</v>
      </c>
      <c r="E317" s="1" t="n">
        <v>46326</v>
      </c>
      <c r="F317" t="inlineStr">
        <is>
          <t>VÄSTRA GÖTALANDS LÄN</t>
        </is>
      </c>
      <c r="G317" t="inlineStr">
        <is>
          <t>FÄRGELANDA</t>
        </is>
      </c>
      <c r="I317" t="n">
        <v>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57991-2023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45247</v>
      </c>
      <c r="E318" s="1" t="n">
        <v>46326</v>
      </c>
      <c r="F318" t="inlineStr">
        <is>
          <t>VÄSTRA GÖTALANDS LÄN</t>
        </is>
      </c>
      <c r="G318" t="inlineStr">
        <is>
          <t>FÄRGELANDA</t>
        </is>
      </c>
      <c r="I318" t="n">
        <v>3.5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42530-2026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46308</v>
      </c>
      <c r="E319" s="1" t="n">
        <v>46326</v>
      </c>
      <c r="F319" t="inlineStr">
        <is>
          <t>VÄSTRA GÖTALANDS LÄN</t>
        </is>
      </c>
      <c r="G319" t="inlineStr">
        <is>
          <t>FÄRGELANDA</t>
        </is>
      </c>
      <c r="I319" t="n">
        <v>3.3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43087-2026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46311</v>
      </c>
      <c r="E320" s="1" t="n">
        <v>46326</v>
      </c>
      <c r="F320" t="inlineStr">
        <is>
          <t>VÄSTRA GÖTALANDS LÄN</t>
        </is>
      </c>
      <c r="G320" t="inlineStr">
        <is>
          <t>FÄRGELANDA</t>
        </is>
      </c>
      <c r="I320" t="n">
        <v>4.7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39253-2026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46288</v>
      </c>
      <c r="E321" s="1" t="n">
        <v>46326</v>
      </c>
      <c r="F321" t="inlineStr">
        <is>
          <t>VÄSTRA GÖTALANDS LÄN</t>
        </is>
      </c>
      <c r="G321" t="inlineStr">
        <is>
          <t>FÄRGELANDA</t>
        </is>
      </c>
      <c r="I321" t="n">
        <v>1.7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43669-2026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46316</v>
      </c>
      <c r="E322" s="1" t="n">
        <v>46326</v>
      </c>
      <c r="F322" t="inlineStr">
        <is>
          <t>VÄSTRA GÖTALANDS LÄN</t>
        </is>
      </c>
      <c r="G322" t="inlineStr">
        <is>
          <t>FÄRGELANDA</t>
        </is>
      </c>
      <c r="I322" t="n">
        <v>1.6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43776-2026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46316</v>
      </c>
      <c r="E323" s="1" t="n">
        <v>46326</v>
      </c>
      <c r="F323" t="inlineStr">
        <is>
          <t>VÄSTRA GÖTALANDS LÄN</t>
        </is>
      </c>
      <c r="G323" t="inlineStr">
        <is>
          <t>FÄRGELANDA</t>
        </is>
      </c>
      <c r="I323" t="n">
        <v>3.9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44772-2026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46322</v>
      </c>
      <c r="E324" s="1" t="n">
        <v>46326</v>
      </c>
      <c r="F324" t="inlineStr">
        <is>
          <t>VÄSTRA GÖTALANDS LÄN</t>
        </is>
      </c>
      <c r="G324" t="inlineStr">
        <is>
          <t>FÄRGELANDA</t>
        </is>
      </c>
      <c r="I324" t="n">
        <v>4.8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37789-2026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46279</v>
      </c>
      <c r="E325" s="1" t="n">
        <v>46326</v>
      </c>
      <c r="F325" t="inlineStr">
        <is>
          <t>VÄSTRA GÖTALANDS LÄN</t>
        </is>
      </c>
      <c r="G325" t="inlineStr">
        <is>
          <t>FÄRGELANDA</t>
        </is>
      </c>
      <c r="I325" t="n">
        <v>2.5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32534-2026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46239</v>
      </c>
      <c r="E326" s="1" t="n">
        <v>46326</v>
      </c>
      <c r="F326" t="inlineStr">
        <is>
          <t>VÄSTRA GÖTALANDS LÄN</t>
        </is>
      </c>
      <c r="G326" t="inlineStr">
        <is>
          <t>FÄRGELANDA</t>
        </is>
      </c>
      <c r="I326" t="n">
        <v>7.4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38658-2026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46281</v>
      </c>
      <c r="E327" s="1" t="n">
        <v>46326</v>
      </c>
      <c r="F327" t="inlineStr">
        <is>
          <t>VÄSTRA GÖTALANDS LÄN</t>
        </is>
      </c>
      <c r="G327" t="inlineStr">
        <is>
          <t>FÄRGELANDA</t>
        </is>
      </c>
      <c r="I327" t="n">
        <v>2.6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40778-2024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45558</v>
      </c>
      <c r="E328" s="1" t="n">
        <v>46326</v>
      </c>
      <c r="F328" t="inlineStr">
        <is>
          <t>VÄSTRA GÖTALANDS LÄN</t>
        </is>
      </c>
      <c r="G328" t="inlineStr">
        <is>
          <t>FÄRGELANDA</t>
        </is>
      </c>
      <c r="I328" t="n">
        <v>1.9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>
      <c r="A329" t="inlineStr">
        <is>
          <t>S 2833-2024</t>
        </is>
      </c>
      <c r="B329" t="inlineStr">
        <is>
          <t>samrådsanmälan</t>
        </is>
      </c>
      <c r="C329" t="inlineStr">
        <is>
          <t>Annan skogsbruksåtgärd</t>
        </is>
      </c>
      <c r="D329" s="1" t="n">
        <v>45491</v>
      </c>
      <c r="E329" s="1" t="n">
        <v>46326</v>
      </c>
      <c r="F329" t="inlineStr">
        <is>
          <t>VÄSTRA GÖTALANDS LÄN</t>
        </is>
      </c>
      <c r="G329" t="inlineStr">
        <is>
          <t>FÄRGELANDA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2026-10-31T03:26:22Z</dcterms:created>
  <dcterms:modified xmlns:dcterms="http://purl.org/dc/terms/" xmlns:xsi="http://www.w3.org/2001/XMLSchema-instance" xsi:type="dcterms:W3CDTF">2026-10-31T03:26:23Z</dcterms:modified>
</cp:coreProperties>
</file>